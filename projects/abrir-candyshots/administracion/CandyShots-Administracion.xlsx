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DASHBOARD" sheetId="2" state="visible" r:id="rId2"/>
    <sheet name="VENTAS" sheetId="3" state="visible" r:id="rId3"/>
    <sheet name="GASTOS" sheetId="4" state="visible" r:id="rId4"/>
    <sheet name="CAJA" sheetId="5" state="visible" r:id="rId5"/>
    <sheet name="PRODUCTOS" sheetId="6" state="visible" r:id="rId6"/>
    <sheet name="COMBOS" sheetId="7" state="visible" r:id="rId7"/>
    <sheet name="RECETAS" sheetId="8" state="visible" r:id="rId8"/>
    <sheet name="INSUMOS" sheetId="9" state="visible" r:id="rId9"/>
    <sheet name="FICHAS_TECNICAS" sheetId="10" state="visible" r:id="rId10"/>
    <sheet name="INVENTARIO" sheetId="11" state="visible" r:id="rId11"/>
    <sheet name="GASTOS_FIJOS" sheetId="12" state="visible" r:id="rId12"/>
    <sheet name="EQUILIBRIO" sheetId="13" state="visible" r:id="rId13"/>
    <sheet name="PYG" sheetId="14" state="visible" r:id="rId14"/>
    <sheet name="PROYECCION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;(0.0%);-"/>
    <numFmt numFmtId="165" formatCode="&quot;$&quot;#,##0.0000;(&quot;$&quot;#,##0.0000);-"/>
    <numFmt numFmtId="166" formatCode="#,##0;(#,##0);-"/>
    <numFmt numFmtId="167" formatCode="&quot;$&quot;#,##0.00;(&quot;$&quot;#,##0.00);-"/>
    <numFmt numFmtId="168" formatCode="#,##0.00;(#,##0.00);-"/>
    <numFmt numFmtId="169" formatCode="yyyy-mm-dd"/>
  </numFmts>
  <fonts count="25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color rgb="001F3864"/>
      <sz val="11"/>
    </font>
    <font>
      <name val="Arial"/>
      <i val="1"/>
      <color rgb="001F3864"/>
      <sz val="9"/>
    </font>
    <font>
      <name val="Arial"/>
      <sz val="10"/>
    </font>
    <font>
      <name val="Arial"/>
      <b val="1"/>
      <color rgb="000000FF"/>
      <sz val="10"/>
    </font>
    <font>
      <name val="Arial"/>
      <color rgb="00595959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b val="1"/>
      <color rgb="00C00000"/>
      <sz val="11"/>
    </font>
    <font>
      <name val="Arial"/>
      <b val="1"/>
      <color rgb="00000000"/>
      <sz val="10"/>
    </font>
    <font>
      <name val="Arial"/>
      <b val="1"/>
      <sz val="11"/>
    </font>
    <font>
      <name val="Arial"/>
      <b val="1"/>
      <color rgb="00C00000"/>
      <sz val="14"/>
    </font>
    <font>
      <name val="Arial"/>
      <b val="1"/>
      <sz val="12"/>
    </font>
    <font>
      <name val="Arial"/>
      <b val="1"/>
      <color rgb="00FFFFFF"/>
      <sz val="13"/>
    </font>
    <font>
      <name val="Arial"/>
      <b val="1"/>
      <color rgb="00008000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6" fillId="3" borderId="1" applyAlignment="1" pivotButton="0" quotePrefix="0" xfId="0">
      <alignment horizontal="center"/>
    </xf>
    <xf numFmtId="0" fontId="7" fillId="0" borderId="0" pivotButton="0" quotePrefix="0" xfId="0"/>
    <xf numFmtId="0" fontId="6" fillId="3" borderId="1" applyAlignment="1" pivotButton="0" quotePrefix="0" xfId="0">
      <alignment horizontal="center"/>
    </xf>
    <xf numFmtId="0" fontId="8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horizontal="center"/>
    </xf>
    <xf numFmtId="167" fontId="5" fillId="5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12" fillId="5" borderId="1" pivotButton="0" quotePrefix="0" xfId="0"/>
    <xf numFmtId="166" fontId="11" fillId="5" borderId="1" applyAlignment="1" pivotButton="0" quotePrefix="0" xfId="0">
      <alignment horizontal="center"/>
    </xf>
    <xf numFmtId="167" fontId="11" fillId="5" borderId="1" pivotButton="0" quotePrefix="0" xfId="0"/>
    <xf numFmtId="167" fontId="8" fillId="5" borderId="1" applyAlignment="1" pivotButton="0" quotePrefix="0" xfId="0">
      <alignment horizontal="center"/>
    </xf>
    <xf numFmtId="164" fontId="5" fillId="5" borderId="1" applyAlignment="1" pivotButton="0" quotePrefix="0" xfId="0">
      <alignment horizontal="center"/>
    </xf>
    <xf numFmtId="167" fontId="19" fillId="5" borderId="1" applyAlignment="1" pivotButton="0" quotePrefix="0" xfId="0">
      <alignment horizontal="center"/>
    </xf>
    <xf numFmtId="166" fontId="5" fillId="5" borderId="1" applyAlignment="1" pivotButton="0" quotePrefix="0" xfId="0">
      <alignment horizontal="center"/>
    </xf>
    <xf numFmtId="166" fontId="8" fillId="5" borderId="1" applyAlignment="1" pivotButton="0" quotePrefix="0" xfId="0">
      <alignment horizontal="center"/>
    </xf>
    <xf numFmtId="164" fontId="8" fillId="5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9" fillId="4" borderId="1" applyAlignment="1" pivotButton="0" quotePrefix="0" xfId="0">
      <alignment horizontal="center" vertical="center" wrapText="1"/>
    </xf>
    <xf numFmtId="169" fontId="10" fillId="3" borderId="1" pivotButton="0" quotePrefix="0" xfId="0"/>
    <xf numFmtId="0" fontId="11" fillId="5" borderId="1" applyAlignment="1" pivotButton="0" quotePrefix="0" xfId="0">
      <alignment horizontal="center"/>
    </xf>
    <xf numFmtId="0" fontId="10" fillId="3" borderId="1" pivotButton="0" quotePrefix="0" xfId="0"/>
    <xf numFmtId="166" fontId="10" fillId="3" borderId="1" pivotButton="0" quotePrefix="0" xfId="0"/>
    <xf numFmtId="167" fontId="8" fillId="5" borderId="1" pivotButton="0" quotePrefix="0" xfId="0"/>
    <xf numFmtId="167" fontId="10" fillId="3" borderId="1" pivotButton="0" quotePrefix="0" xfId="0"/>
    <xf numFmtId="167" fontId="12" fillId="5" borderId="1" pivotButton="0" quotePrefix="0" xfId="0"/>
    <xf numFmtId="164" fontId="12" fillId="5" borderId="1" pivotButton="0" quotePrefix="0" xfId="0"/>
    <xf numFmtId="164" fontId="8" fillId="5" borderId="1" pivotButton="0" quotePrefix="0" xfId="0"/>
    <xf numFmtId="164" fontId="11" fillId="5" borderId="1" pivotButton="0" quotePrefix="0" xfId="0"/>
    <xf numFmtId="168" fontId="10" fillId="3" borderId="1" pivotButton="0" quotePrefix="0" xfId="0"/>
    <xf numFmtId="165" fontId="12" fillId="5" borderId="1" pivotButton="0" quotePrefix="0" xfId="0"/>
    <xf numFmtId="168" fontId="11" fillId="5" borderId="1" applyAlignment="1" pivotButton="0" quotePrefix="0" xfId="0">
      <alignment horizontal="center"/>
    </xf>
    <xf numFmtId="164" fontId="10" fillId="3" borderId="1" pivotButton="0" quotePrefix="0" xfId="0"/>
    <xf numFmtId="165" fontId="8" fillId="5" borderId="1" pivotButton="0" quotePrefix="0" xfId="0"/>
    <xf numFmtId="0" fontId="20" fillId="4" borderId="0" pivotButton="0" quotePrefix="0" xfId="0"/>
    <xf numFmtId="0" fontId="0" fillId="4" borderId="0" pivotButton="0" quotePrefix="0" xfId="0"/>
    <xf numFmtId="167" fontId="21" fillId="5" borderId="1" pivotButton="0" quotePrefix="0" xfId="0"/>
    <xf numFmtId="0" fontId="9" fillId="6" borderId="1" applyAlignment="1" pivotButton="0" quotePrefix="0" xfId="0">
      <alignment horizontal="center"/>
    </xf>
    <xf numFmtId="0" fontId="0" fillId="6" borderId="0" pivotButton="0" quotePrefix="0" xfId="0"/>
    <xf numFmtId="0" fontId="8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/>
    </xf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12" fillId="5" borderId="1" applyAlignment="1" pivotButton="0" quotePrefix="0" xfId="0">
      <alignment horizontal="center"/>
    </xf>
    <xf numFmtId="168" fontId="11" fillId="5" borderId="1" pivotButton="0" quotePrefix="0" xfId="0"/>
    <xf numFmtId="0" fontId="13" fillId="4" borderId="0" pivotButton="0" quotePrefix="0" xfId="0"/>
    <xf numFmtId="167" fontId="13" fillId="4" borderId="0" pivotButton="0" quotePrefix="0" xfId="0"/>
    <xf numFmtId="167" fontId="8" fillId="0" borderId="0" pivotButton="0" quotePrefix="0" xfId="0"/>
    <xf numFmtId="167" fontId="11" fillId="5" borderId="1" applyAlignment="1" pivotButton="0" quotePrefix="0" xfId="0">
      <alignment horizontal="center"/>
    </xf>
    <xf numFmtId="167" fontId="14" fillId="5" borderId="1" applyAlignment="1" pivotButton="0" quotePrefix="0" xfId="0">
      <alignment horizontal="center"/>
    </xf>
    <xf numFmtId="164" fontId="11" fillId="5" borderId="1" applyAlignment="1" pivotButton="0" quotePrefix="0" xfId="0">
      <alignment horizontal="center"/>
    </xf>
    <xf numFmtId="166" fontId="14" fillId="5" borderId="1" applyAlignment="1" pivotButton="0" quotePrefix="0" xfId="0">
      <alignment horizontal="center"/>
    </xf>
    <xf numFmtId="166" fontId="15" fillId="5" borderId="1" applyAlignment="1" pivotButton="0" quotePrefix="0" xfId="0">
      <alignment horizontal="center"/>
    </xf>
    <xf numFmtId="166" fontId="6" fillId="3" borderId="1" applyAlignment="1" pivotButton="0" quotePrefix="0" xfId="0">
      <alignment horizontal="center"/>
    </xf>
    <xf numFmtId="167" fontId="16" fillId="5" borderId="1" pivotButton="0" quotePrefix="0" xfId="0"/>
    <xf numFmtId="0" fontId="9" fillId="4" borderId="1" pivotButton="0" quotePrefix="0" xfId="0"/>
    <xf numFmtId="167" fontId="9" fillId="4" borderId="1" pivotButton="0" quotePrefix="0" xfId="0"/>
    <xf numFmtId="164" fontId="9" fillId="4" borderId="1" pivotButton="0" quotePrefix="0" xfId="0"/>
    <xf numFmtId="0" fontId="9" fillId="4" borderId="1" applyAlignment="1" pivotButton="0" quotePrefix="0" xfId="0">
      <alignment horizontal="center" wrapText="1"/>
    </xf>
    <xf numFmtId="166" fontId="10" fillId="3" borderId="1" applyAlignment="1" pivotButton="0" quotePrefix="0" xfId="0">
      <alignment horizontal="center"/>
    </xf>
    <xf numFmtId="167" fontId="10" fillId="3" borderId="1" applyAlignment="1" pivotButton="0" quotePrefix="0" xfId="0">
      <alignment horizontal="center"/>
    </xf>
    <xf numFmtId="164" fontId="10" fillId="3" borderId="1" applyAlignment="1" pivotButton="0" quotePrefix="0" xfId="0">
      <alignment horizontal="center"/>
    </xf>
  </cellXfs>
  <cellStyles count="1">
    <cellStyle name="Normal" xfId="0" builtinId="0" hidden="0"/>
  </cellStyles>
  <dxfs count="5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70" customWidth="1" min="4" max="4"/>
  </cols>
  <sheetData>
    <row r="1" ht="24" customHeight="1">
      <c r="A1" s="1" t="inlineStr">
        <is>
          <t>CANDYSHOTS — SISTEMA DE ADMINISTRACION</t>
        </is>
      </c>
    </row>
    <row r="2">
      <c r="A2" s="2" t="inlineStr">
        <is>
          <t>Machala, Ecuador · v1.0 · Todos los valores en USD</t>
        </is>
      </c>
    </row>
    <row r="4">
      <c r="B4" s="3" t="inlineStr">
        <is>
          <t>PARAMETROS GLOBALES</t>
        </is>
      </c>
      <c r="C4" s="4" t="n"/>
      <c r="D4" s="5" t="inlineStr">
        <is>
          <t>Cambia estos valores y TODO el sistema se recalcula.</t>
        </is>
      </c>
    </row>
    <row r="5">
      <c r="B5" s="6" t="inlineStr">
        <is>
          <t>IVA de venta (Ecuador 2026)</t>
        </is>
      </c>
      <c r="C5" s="7" t="n">
        <v>0.15</v>
      </c>
      <c r="D5" s="8" t="inlineStr">
        <is>
          <t>Tarifa vigente. Tus precios de carta se asumen CON IVA incluido.</t>
        </is>
      </c>
    </row>
    <row r="6">
      <c r="B6" s="6" t="inlineStr">
        <is>
          <t>¿Recuperas el IVA de tus compras? (SI/NO)</t>
        </is>
      </c>
      <c r="C6" s="9" t="inlineStr">
        <is>
          <t>SI</t>
        </is>
      </c>
      <c r="D6" s="8" t="inlineStr">
        <is>
          <t>CONFIRMADO 2026-09-07: SI. Regimen general con RUC, credito tributario. Si eso cambia, ponlo en NO.</t>
        </is>
      </c>
    </row>
    <row r="7">
      <c r="B7" s="6" t="inlineStr">
        <is>
          <t>Dias de operacion al mes</t>
        </is>
      </c>
      <c r="C7" s="9" t="n">
        <v>26</v>
      </c>
      <c r="D7" s="8" t="inlineStr">
        <is>
          <t>Se usa para punto de equilibrio y proyecciones.</t>
        </is>
      </c>
    </row>
    <row r="8">
      <c r="B8" s="6" t="inlineStr">
        <is>
          <t>Mes que analiza el DASHBOARD (AAAA-MM)</t>
        </is>
      </c>
      <c r="C8" s="9" t="inlineStr">
        <is>
          <t>2026-09</t>
        </is>
      </c>
      <c r="D8" s="8" t="inlineStr">
        <is>
          <t>Escribe el mes que quieres ver. Ej: 2026-10</t>
        </is>
      </c>
    </row>
    <row r="9">
      <c r="B9" s="6" t="inlineStr">
        <is>
          <t>Margen objetivo por defecto</t>
        </is>
      </c>
      <c r="C9" s="7" t="n">
        <v>0.7</v>
      </c>
      <c r="D9" s="8" t="inlineStr">
        <is>
          <t>Se usa para calcular el PVP sugerido de productos nuevos.</t>
        </is>
      </c>
    </row>
    <row r="11">
      <c r="B11" s="3" t="inlineStr">
        <is>
          <t>COMO USAR ESTE ARCHIVO</t>
        </is>
      </c>
      <c r="C11" s="4" t="n"/>
      <c r="D11" s="5" t="inlineStr"/>
    </row>
    <row r="12">
      <c r="B12" s="10" t="inlineStr">
        <is>
          <t>Colores</t>
        </is>
      </c>
      <c r="D12" s="6" t="inlineStr">
        <is>
          <t>AZUL = escribes tu.  NEGRO = formula, no tocar.  VERDE = viene de otra hoja.  FONDO AMARILLO = celda para llenar.</t>
        </is>
      </c>
    </row>
    <row r="14">
      <c r="B14" s="3" t="inlineStr">
        <is>
          <t>ORDEN DE LLENADO (primera vez)</t>
        </is>
      </c>
      <c r="C14" s="4" t="n"/>
      <c r="D14" s="5" t="inlineStr"/>
    </row>
    <row r="15">
      <c r="B15" s="10" t="inlineStr">
        <is>
          <t>1. INSUMOS</t>
        </is>
      </c>
      <c r="D15" s="6" t="inlineStr">
        <is>
          <t>Cada cosa que compras: precio y cuanto rinde. Es la base de todo.</t>
        </is>
      </c>
    </row>
    <row r="16">
      <c r="B16" s="10" t="inlineStr">
        <is>
          <t>2. RECETAS</t>
        </is>
      </c>
      <c r="D16" s="6" t="inlineStr">
        <is>
          <t>Que insumos y cuanta cantidad lleva cada producto.</t>
        </is>
      </c>
    </row>
    <row r="17">
      <c r="B17" s="10" t="inlineStr">
        <is>
          <t>3. PRODUCTOS</t>
        </is>
      </c>
      <c r="D17" s="6" t="inlineStr">
        <is>
          <t>Precio de venta al publico. Te dice utilidad, margen y si el precio esta bien.</t>
        </is>
      </c>
    </row>
    <row r="18">
      <c r="B18" s="10" t="inlineStr">
        <is>
          <t>4. COMBOS</t>
        </is>
      </c>
      <c r="D18" s="6" t="inlineStr">
        <is>
          <t>Arma combos y ve cuanto margen sacrificas antes de lanzarlos.</t>
        </is>
      </c>
    </row>
    <row r="19">
      <c r="B19" s="10" t="inlineStr">
        <is>
          <t>5. GASTOS_FIJOS</t>
        </is>
      </c>
      <c r="D19" s="6" t="inlineStr">
        <is>
          <t>Arriendo, luz, sueldos. Alimenta el punto de equilibrio.</t>
        </is>
      </c>
    </row>
    <row r="21">
      <c r="B21" s="3" t="inlineStr">
        <is>
          <t>USO DIARIO</t>
        </is>
      </c>
      <c r="C21" s="4" t="n"/>
      <c r="D21" s="5" t="inlineStr"/>
    </row>
    <row r="22">
      <c r="B22" s="10" t="inlineStr">
        <is>
          <t>VENTAS</t>
        </is>
      </c>
      <c r="D22" s="6" t="inlineStr">
        <is>
          <t>Una fila por venta. Elige producto del desplegable y pon la cantidad. El resto se calcula solo.</t>
        </is>
      </c>
    </row>
    <row r="23">
      <c r="B23" s="10" t="inlineStr">
        <is>
          <t>GASTOS</t>
        </is>
      </c>
      <c r="D23" s="6" t="inlineStr">
        <is>
          <t>Cada compra o pago que sale del negocio.</t>
        </is>
      </c>
    </row>
    <row r="24">
      <c r="B24" s="10" t="inlineStr">
        <is>
          <t>CAJA</t>
        </is>
      </c>
      <c r="D24" s="6" t="inlineStr">
        <is>
          <t>Al cerrar el dia: cuanto habia, cuanto contaste. Te muestra el descuadre.</t>
        </is>
      </c>
    </row>
    <row r="26">
      <c r="B26" s="3" t="inlineStr">
        <is>
          <t>SOLO LECTURA (no escribes nada)</t>
        </is>
      </c>
      <c r="C26" s="4" t="n"/>
      <c r="D26" s="5" t="inlineStr"/>
    </row>
    <row r="27">
      <c r="B27" s="10" t="inlineStr">
        <is>
          <t>DASHBOARD</t>
        </is>
      </c>
      <c r="D27" s="6" t="inlineStr">
        <is>
          <t>Resumen del mes: venta, utilidad, top productos, alertas.</t>
        </is>
      </c>
    </row>
    <row r="28">
      <c r="B28" s="10" t="inlineStr">
        <is>
          <t>EQUILIBRIO</t>
        </is>
      </c>
      <c r="D28" s="6" t="inlineStr">
        <is>
          <t>Cuantos vasos al dia necesitas para no perder plata. El numero mas importante.</t>
        </is>
      </c>
    </row>
    <row r="29">
      <c r="B29" s="10" t="inlineStr">
        <is>
          <t>PYG</t>
        </is>
      </c>
      <c r="D29" s="6" t="inlineStr">
        <is>
          <t>Estado de resultados mes a mes con datos reales.</t>
        </is>
      </c>
    </row>
    <row r="30">
      <c r="B30" s="10" t="inlineStr">
        <is>
          <t>PROYECCIONES</t>
        </is>
      </c>
      <c r="D30" s="6" t="inlineStr">
        <is>
          <t>3 escenarios a 12 meses.</t>
        </is>
      </c>
    </row>
    <row r="31">
      <c r="B31" s="10" t="inlineStr">
        <is>
          <t>INVENTARIO</t>
        </is>
      </c>
      <c r="D31" s="6" t="inlineStr">
        <is>
          <t>Stock y alertas de compra.</t>
        </is>
      </c>
    </row>
    <row r="33">
      <c r="B33" s="3" t="inlineStr">
        <is>
          <t>REGLA DE ORO</t>
        </is>
      </c>
      <c r="C33" s="4" t="n"/>
      <c r="D33" s="5" t="inlineStr"/>
    </row>
    <row r="34">
      <c r="B34" s="10" t="inlineStr"/>
      <c r="D34" s="6" t="inlineStr">
        <is>
          <t>Si no registras las ventas todos los dias, este archivo no sirve para nada. 2 minutos al cierre.</t>
        </is>
      </c>
    </row>
    <row r="36">
      <c r="B36" s="3" t="inlineStr">
        <is>
          <t>COMO ESTA CONECTADO TODO</t>
        </is>
      </c>
      <c r="C36" s="4" t="n"/>
      <c r="D36" s="5" t="inlineStr">
        <is>
          <t>Cambias UN dato y se recalcula toda la cadena. Nunca escribas dos veces lo mismo.</t>
        </is>
      </c>
    </row>
    <row r="37">
      <c r="B37" s="10" t="inlineStr">
        <is>
          <t>INSUMOS  -&gt;  RECETAS</t>
        </is>
      </c>
      <c r="D37" s="6" t="inlineStr">
        <is>
          <t>Eliges el insumo de una LISTA. Trae solo su costo por ml/g/unidad.</t>
        </is>
      </c>
    </row>
    <row r="38">
      <c r="B38" s="10" t="inlineStr">
        <is>
          <t>RECETAS  -&gt;  PRODUCTOS</t>
        </is>
      </c>
      <c r="D38" s="6" t="inlineStr">
        <is>
          <t>Suma todas las lineas de la receta = costo del producto.</t>
        </is>
      </c>
    </row>
    <row r="39">
      <c r="B39" s="10" t="inlineStr">
        <is>
          <t>PRODUCTOS  -&gt;  COMBOS</t>
        </is>
      </c>
      <c r="D39" s="6" t="inlineStr">
        <is>
          <t>Eliges los items del combo de una LISTA. Trae precio y costo de cada uno.</t>
        </is>
      </c>
    </row>
    <row r="40">
      <c r="B40" s="10" t="inlineStr">
        <is>
          <t>COMBOS  -&gt;  PRODUCTOS</t>
        </is>
      </c>
      <c r="D40" s="6" t="inlineStr">
        <is>
          <t>El combo vuelve como un producto mas, para poder venderlo en VENTAS.</t>
        </is>
      </c>
    </row>
    <row r="41">
      <c r="B41" s="10" t="inlineStr">
        <is>
          <t>PRODUCTOS  -&gt;  VENTAS</t>
        </is>
      </c>
      <c r="D41" s="6" t="inlineStr">
        <is>
          <t>Eliges el producto de una LISTA. Trae precio Y costo. Tu solo pones la cantidad.</t>
        </is>
      </c>
    </row>
    <row r="42">
      <c r="B42" s="10" t="inlineStr">
        <is>
          <t>VENTAS  -&gt;  CAJA / DASHBOARD / PYG / EQUILIBRIO</t>
        </is>
      </c>
      <c r="D42" s="6" t="inlineStr">
        <is>
          <t>Todo el analisis sale de aqui. Por eso registrar ventas no es opcional.</t>
        </is>
      </c>
    </row>
    <row r="43">
      <c r="B43" s="10" t="inlineStr">
        <is>
          <t>VENTAS + RECETAS  -&gt;  INVENTARIO</t>
        </is>
      </c>
      <c r="D43" s="6" t="inlineStr">
        <is>
          <t>Calcula solo cuanto insumo consumiste segun lo que vendiste.</t>
        </is>
      </c>
    </row>
    <row r="44">
      <c r="B44" s="10" t="inlineStr">
        <is>
          <t>GASTOS  -&gt;  CAJA / DASHBOARD / PYG</t>
        </is>
      </c>
      <c r="D44" s="6" t="inlineStr">
        <is>
          <t>Los gastos reales bajan tu utilidad en todos los reportes.</t>
        </is>
      </c>
    </row>
    <row r="45">
      <c r="B45" s="10" t="inlineStr">
        <is>
          <t>GASTOS_FIJOS  -&gt;  EQUILIBRIO / PROYECCIONES</t>
        </is>
      </c>
      <c r="D45" s="6" t="inlineStr">
        <is>
          <t>Tu plan de fijos. Define cuantos vasos al dia necesitas vender.</t>
        </is>
      </c>
    </row>
    <row r="46">
      <c r="B46" s="10" t="inlineStr">
        <is>
          <t>INSUMOS  -&gt;  FICHAS_TECNICAS</t>
        </is>
      </c>
      <c r="D46" s="6" t="inlineStr">
        <is>
          <t>El costo impreso en la ficha se actualiza solo si sube un precio.</t>
        </is>
      </c>
    </row>
    <row r="48">
      <c r="B48" s="3" t="inlineStr">
        <is>
          <t>SI ALGO NO TE APARECE EN UN DESPLEGABLE</t>
        </is>
      </c>
      <c r="C48" s="4" t="n"/>
      <c r="D48" s="5" t="inlineStr"/>
    </row>
    <row r="49">
      <c r="B49" s="10" t="inlineStr">
        <is>
          <t>Producto que no sale en VENTAS</t>
        </is>
      </c>
      <c r="D49" s="6" t="inlineStr">
        <is>
          <t>Agregalo primero en PRODUCTOS (columna B). Aparece al instante en la lista.</t>
        </is>
      </c>
    </row>
    <row r="50">
      <c r="B50" s="10" t="inlineStr">
        <is>
          <t>Insumo que no sale en RECETAS</t>
        </is>
      </c>
      <c r="D50" s="6" t="inlineStr">
        <is>
          <t>Agregalo primero en INSUMOS (columna B).</t>
        </is>
      </c>
    </row>
    <row r="51">
      <c r="B51" s="10" t="inlineStr">
        <is>
          <t>Regla general</t>
        </is>
      </c>
      <c r="D51" s="6" t="inlineStr">
        <is>
          <t>Las listas se alimentan solas. Si falta algo, es porque no lo creaste en su hoja maestra.</t>
        </is>
      </c>
    </row>
  </sheetData>
  <dataValidations count="2">
    <dataValidation sqref="C6" showDropDown="0" showInputMessage="0" showErrorMessage="0" allowBlank="0" type="list">
      <formula1>"SI,NO"</formula1>
    </dataValidation>
    <dataValidation sqref="C8" showDropDown="0" showInputMessage="0" showErrorMessage="0" allowBlank="0" errorTitle="Mes no valido" error="Elige un mes de la lista (los mismos que tiene la hoja PYG)." type="list">
      <formula1>=PYG!$A$5:$A$16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4" customWidth="1" min="4" max="4"/>
    <col width="30" customWidth="1" min="5" max="5"/>
    <col width="14" customWidth="1" min="6" max="6"/>
    <col width="14" customWidth="1" min="7" max="7"/>
    <col width="12" customWidth="1" min="8" max="8"/>
  </cols>
  <sheetData>
    <row r="1" ht="24" customHeight="1">
      <c r="A1" s="1" t="inlineStr">
        <is>
          <t>DASHBOARD</t>
        </is>
      </c>
    </row>
    <row r="2">
      <c r="A2" s="2" t="inlineStr">
        <is>
          <t>Cambia el mes en la hoja INICIO (celda C8) y todo aqui se actualiza.</t>
        </is>
      </c>
    </row>
    <row r="3">
      <c r="B3" s="11" t="inlineStr">
        <is>
          <t>MES ANALIZADO:</t>
        </is>
      </c>
      <c r="C3" s="12">
        <f>INICIO!$C$8</f>
        <v/>
      </c>
    </row>
    <row r="4">
      <c r="E4" s="3" t="inlineStr">
        <is>
          <t>RENDIMIENTO POR PRODUCTO (mes analizado)</t>
        </is>
      </c>
      <c r="F4" s="4" t="n"/>
      <c r="G4" s="4" t="n"/>
      <c r="H4" s="4" t="n"/>
    </row>
    <row r="5">
      <c r="B5" s="10" t="inlineStr">
        <is>
          <t>VENTA BRUTA DEL MES (c/IVA)</t>
        </is>
      </c>
      <c r="C5" s="13">
        <f>SUMIFS(VENTAS!$F$5:$F$504,VENTAS!$B$5:$B$504,INICIO!$C$8)</f>
        <v/>
      </c>
      <c r="E5" s="14" t="inlineStr">
        <is>
          <t>Producto</t>
        </is>
      </c>
      <c r="F5" s="14" t="inlineStr">
        <is>
          <t>Unidades</t>
        </is>
      </c>
      <c r="G5" s="14" t="inlineStr">
        <is>
          <t>Venta c/IVA</t>
        </is>
      </c>
      <c r="H5" s="14" t="inlineStr">
        <is>
          <t>Utilidad</t>
        </is>
      </c>
    </row>
    <row r="6">
      <c r="B6" s="6" t="inlineStr">
        <is>
          <t>IVA cobrado (esto NO es tuyo)</t>
        </is>
      </c>
      <c r="C6" s="13">
        <f>SUMIFS(VENTAS!$G$5:$G$504,VENTAS!$B$5:$B$504,INICIO!$C$8)</f>
        <v/>
      </c>
      <c r="E6" s="15">
        <f>IF(PRODUCTOS!$B5="","",PRODUCTOS!$B5)</f>
        <v/>
      </c>
      <c r="F6" s="16">
        <f>IF($E6="","",SUMIFS(VENTAS!$D$5:$D$504,VENTAS!$B$5:$B$504,INICIO!$C$8,VENTAS!$C$5:$C$504,$E6))</f>
        <v/>
      </c>
      <c r="G6" s="17">
        <f>IF($E6="","",SUMIFS(VENTAS!$F$5:$F$504,VENTAS!$B$5:$B$504,INICIO!$C$8,VENTAS!$C$5:$C$504,$E6))</f>
        <v/>
      </c>
      <c r="H6" s="17">
        <f>IF($E6="","",SUMIFS(VENTAS!$J$5:$J$504,VENTAS!$B$5:$B$504,INICIO!$C$8,VENTAS!$C$5:$C$504,$E6))</f>
        <v/>
      </c>
    </row>
    <row r="7">
      <c r="B7" s="6" t="inlineStr">
        <is>
          <t>INGRESO NETO (tuyo)</t>
        </is>
      </c>
      <c r="C7" s="13">
        <f>SUMIFS(VENTAS!$H$5:$H$504,VENTAS!$B$5:$B$504,INICIO!$C$8)</f>
        <v/>
      </c>
      <c r="E7" s="15">
        <f>IF(PRODUCTOS!$B6="","",PRODUCTOS!$B6)</f>
        <v/>
      </c>
      <c r="F7" s="16">
        <f>IF($E7="","",SUMIFS(VENTAS!$D$5:$D$504,VENTAS!$B$5:$B$504,INICIO!$C$8,VENTAS!$C$5:$C$504,$E7))</f>
        <v/>
      </c>
      <c r="G7" s="17">
        <f>IF($E7="","",SUMIFS(VENTAS!$F$5:$F$504,VENTAS!$B$5:$B$504,INICIO!$C$8,VENTAS!$C$5:$C$504,$E7))</f>
        <v/>
      </c>
      <c r="H7" s="17">
        <f>IF($E7="","",SUMIFS(VENTAS!$J$5:$J$504,VENTAS!$B$5:$B$504,INICIO!$C$8,VENTAS!$C$5:$C$504,$E7))</f>
        <v/>
      </c>
    </row>
    <row r="8">
      <c r="B8" s="6" t="inlineStr">
        <is>
          <t>Costo de ventas</t>
        </is>
      </c>
      <c r="C8" s="13">
        <f>SUMIFS(VENTAS!$I$5:$I$504,VENTAS!$B$5:$B$504,INICIO!$C$8)</f>
        <v/>
      </c>
      <c r="E8" s="15">
        <f>IF(PRODUCTOS!$B7="","",PRODUCTOS!$B7)</f>
        <v/>
      </c>
      <c r="F8" s="16">
        <f>IF($E8="","",SUMIFS(VENTAS!$D$5:$D$504,VENTAS!$B$5:$B$504,INICIO!$C$8,VENTAS!$C$5:$C$504,$E8))</f>
        <v/>
      </c>
      <c r="G8" s="17">
        <f>IF($E8="","",SUMIFS(VENTAS!$F$5:$F$504,VENTAS!$B$5:$B$504,INICIO!$C$8,VENTAS!$C$5:$C$504,$E8))</f>
        <v/>
      </c>
      <c r="H8" s="17">
        <f>IF($E8="","",SUMIFS(VENTAS!$J$5:$J$504,VENTAS!$B$5:$B$504,INICIO!$C$8,VENTAS!$C$5:$C$504,$E8))</f>
        <v/>
      </c>
    </row>
    <row r="9">
      <c r="B9" s="10" t="inlineStr">
        <is>
          <t>UTILIDAD BRUTA</t>
        </is>
      </c>
      <c r="C9" s="18">
        <f>$C$7-$C$8</f>
        <v/>
      </c>
      <c r="E9" s="15">
        <f>IF(PRODUCTOS!$B8="","",PRODUCTOS!$B8)</f>
        <v/>
      </c>
      <c r="F9" s="16">
        <f>IF($E9="","",SUMIFS(VENTAS!$D$5:$D$504,VENTAS!$B$5:$B$504,INICIO!$C$8,VENTAS!$C$5:$C$504,$E9))</f>
        <v/>
      </c>
      <c r="G9" s="17">
        <f>IF($E9="","",SUMIFS(VENTAS!$F$5:$F$504,VENTAS!$B$5:$B$504,INICIO!$C$8,VENTAS!$C$5:$C$504,$E9))</f>
        <v/>
      </c>
      <c r="H9" s="17">
        <f>IF($E9="","",SUMIFS(VENTAS!$J$5:$J$504,VENTAS!$B$5:$B$504,INICIO!$C$8,VENTAS!$C$5:$C$504,$E9))</f>
        <v/>
      </c>
    </row>
    <row r="10">
      <c r="B10" s="6" t="inlineStr">
        <is>
          <t>Margen bruto</t>
        </is>
      </c>
      <c r="C10" s="19">
        <f>IFERROR($C$9/$C$7,0)</f>
        <v/>
      </c>
      <c r="E10" s="15">
        <f>IF(PRODUCTOS!$B9="","",PRODUCTOS!$B9)</f>
        <v/>
      </c>
      <c r="F10" s="16">
        <f>IF($E10="","",SUMIFS(VENTAS!$D$5:$D$504,VENTAS!$B$5:$B$504,INICIO!$C$8,VENTAS!$C$5:$C$504,$E10))</f>
        <v/>
      </c>
      <c r="G10" s="17">
        <f>IF($E10="","",SUMIFS(VENTAS!$F$5:$F$504,VENTAS!$B$5:$B$504,INICIO!$C$8,VENTAS!$C$5:$C$504,$E10))</f>
        <v/>
      </c>
      <c r="H10" s="17">
        <f>IF($E10="","",SUMIFS(VENTAS!$J$5:$J$504,VENTAS!$B$5:$B$504,INICIO!$C$8,VENTAS!$C$5:$C$504,$E10))</f>
        <v/>
      </c>
    </row>
    <row r="11">
      <c r="B11" s="6" t="inlineStr">
        <is>
          <t>Gastos operativos del mes</t>
        </is>
      </c>
      <c r="C11" s="13">
        <f>SUMIFS(GASTOS!$E$5:$E$304,GASTOS!$B$5:$B$304,INICIO!$C$8)-SUMIFS(GASTOS!$E$5:$E$304,GASTOS!$B$5:$B$304,INICIO!$C$8,GASTOS!$C$5:$C$304,"Insumos")-SUMIFS(GASTOS!$E$5:$E$304,GASTOS!$B$5:$B$304,INICIO!$C$8,GASTOS!$C$5:$C$304,"Descartables")</f>
        <v/>
      </c>
      <c r="E11" s="15">
        <f>IF(PRODUCTOS!$B10="","",PRODUCTOS!$B10)</f>
        <v/>
      </c>
      <c r="F11" s="16">
        <f>IF($E11="","",SUMIFS(VENTAS!$D$5:$D$504,VENTAS!$B$5:$B$504,INICIO!$C$8,VENTAS!$C$5:$C$504,$E11))</f>
        <v/>
      </c>
      <c r="G11" s="17">
        <f>IF($E11="","",SUMIFS(VENTAS!$F$5:$F$504,VENTAS!$B$5:$B$504,INICIO!$C$8,VENTAS!$C$5:$C$504,$E11))</f>
        <v/>
      </c>
      <c r="H11" s="17">
        <f>IF($E11="","",SUMIFS(VENTAS!$J$5:$J$504,VENTAS!$B$5:$B$504,INICIO!$C$8,VENTAS!$C$5:$C$504,$E11))</f>
        <v/>
      </c>
    </row>
    <row r="12">
      <c r="B12" s="10" t="inlineStr">
        <is>
          <t>UTILIDAD NETA DEL MES</t>
        </is>
      </c>
      <c r="C12" s="20">
        <f>$C$9-$C$11</f>
        <v/>
      </c>
      <c r="E12" s="15">
        <f>IF(PRODUCTOS!$B11="","",PRODUCTOS!$B11)</f>
        <v/>
      </c>
      <c r="F12" s="16">
        <f>IF($E12="","",SUMIFS(VENTAS!$D$5:$D$504,VENTAS!$B$5:$B$504,INICIO!$C$8,VENTAS!$C$5:$C$504,$E12))</f>
        <v/>
      </c>
      <c r="G12" s="17">
        <f>IF($E12="","",SUMIFS(VENTAS!$F$5:$F$504,VENTAS!$B$5:$B$504,INICIO!$C$8,VENTAS!$C$5:$C$504,$E12))</f>
        <v/>
      </c>
      <c r="H12" s="17">
        <f>IF($E12="","",SUMIFS(VENTAS!$J$5:$J$504,VENTAS!$B$5:$B$504,INICIO!$C$8,VENTAS!$C$5:$C$504,$E12))</f>
        <v/>
      </c>
    </row>
    <row r="13">
      <c r="B13" s="6" t="inlineStr">
        <is>
          <t>Unidades vendidas</t>
        </is>
      </c>
      <c r="C13" s="21">
        <f>SUMIFS(VENTAS!$D$5:$D$504,VENTAS!$B$5:$B$504,INICIO!$C$8)</f>
        <v/>
      </c>
      <c r="E13" s="15">
        <f>IF(PRODUCTOS!$B12="","",PRODUCTOS!$B12)</f>
        <v/>
      </c>
      <c r="F13" s="16">
        <f>IF($E13="","",SUMIFS(VENTAS!$D$5:$D$504,VENTAS!$B$5:$B$504,INICIO!$C$8,VENTAS!$C$5:$C$504,$E13))</f>
        <v/>
      </c>
      <c r="G13" s="17">
        <f>IF($E13="","",SUMIFS(VENTAS!$F$5:$F$504,VENTAS!$B$5:$B$504,INICIO!$C$8,VENTAS!$C$5:$C$504,$E13))</f>
        <v/>
      </c>
      <c r="H13" s="17">
        <f>IF($E13="","",SUMIFS(VENTAS!$J$5:$J$504,VENTAS!$B$5:$B$504,INICIO!$C$8,VENTAS!$C$5:$C$504,$E13))</f>
        <v/>
      </c>
    </row>
    <row r="14">
      <c r="B14" s="6" t="inlineStr">
        <is>
          <t>Ticket promedio (c/IVA)</t>
        </is>
      </c>
      <c r="C14" s="13">
        <f>IFERROR($C$5/$C$13,0)</f>
        <v/>
      </c>
      <c r="E14" s="15">
        <f>IF(PRODUCTOS!$B13="","",PRODUCTOS!$B13)</f>
        <v/>
      </c>
      <c r="F14" s="16">
        <f>IF($E14="","",SUMIFS(VENTAS!$D$5:$D$504,VENTAS!$B$5:$B$504,INICIO!$C$8,VENTAS!$C$5:$C$504,$E14))</f>
        <v/>
      </c>
      <c r="G14" s="17">
        <f>IF($E14="","",SUMIFS(VENTAS!$F$5:$F$504,VENTAS!$B$5:$B$504,INICIO!$C$8,VENTAS!$C$5:$C$504,$E14))</f>
        <v/>
      </c>
      <c r="H14" s="17">
        <f>IF($E14="","",SUMIFS(VENTAS!$J$5:$J$504,VENTAS!$B$5:$B$504,INICIO!$C$8,VENTAS!$C$5:$C$504,$E14))</f>
        <v/>
      </c>
    </row>
    <row r="15">
      <c r="B15" s="6" t="inlineStr">
        <is>
          <t>Venta promedio por dia (mes / dias operacion)</t>
        </is>
      </c>
      <c r="C15" s="13">
        <f>IFERROR($C$5/INICIO!$C$7,0)</f>
        <v/>
      </c>
      <c r="E15" s="15">
        <f>IF(PRODUCTOS!$B14="","",PRODUCTOS!$B14)</f>
        <v/>
      </c>
      <c r="F15" s="16">
        <f>IF($E15="","",SUMIFS(VENTAS!$D$5:$D$504,VENTAS!$B$5:$B$504,INICIO!$C$8,VENTAS!$C$5:$C$504,$E15))</f>
        <v/>
      </c>
      <c r="G15" s="17">
        <f>IF($E15="","",SUMIFS(VENTAS!$F$5:$F$504,VENTAS!$B$5:$B$504,INICIO!$C$8,VENTAS!$C$5:$C$504,$E15))</f>
        <v/>
      </c>
      <c r="H15" s="17">
        <f>IF($E15="","",SUMIFS(VENTAS!$J$5:$J$504,VENTAS!$B$5:$B$504,INICIO!$C$8,VENTAS!$C$5:$C$504,$E15))</f>
        <v/>
      </c>
    </row>
    <row r="16">
      <c r="E16" s="15">
        <f>IF(PRODUCTOS!$B15="","",PRODUCTOS!$B15)</f>
        <v/>
      </c>
      <c r="F16" s="16">
        <f>IF($E16="","",SUMIFS(VENTAS!$D$5:$D$504,VENTAS!$B$5:$B$504,INICIO!$C$8,VENTAS!$C$5:$C$504,$E16))</f>
        <v/>
      </c>
      <c r="G16" s="17">
        <f>IF($E16="","",SUMIFS(VENTAS!$F$5:$F$504,VENTAS!$B$5:$B$504,INICIO!$C$8,VENTAS!$C$5:$C$504,$E16))</f>
        <v/>
      </c>
      <c r="H16" s="17">
        <f>IF($E16="","",SUMIFS(VENTAS!$J$5:$J$504,VENTAS!$B$5:$B$504,INICIO!$C$8,VENTAS!$C$5:$C$504,$E16))</f>
        <v/>
      </c>
    </row>
    <row r="17">
      <c r="B17" s="3" t="inlineStr">
        <is>
          <t>VS PUNTO DE EQUILIBRIO</t>
        </is>
      </c>
      <c r="C17" s="4" t="n"/>
      <c r="E17" s="15">
        <f>IF(PRODUCTOS!$B16="","",PRODUCTOS!$B16)</f>
        <v/>
      </c>
      <c r="F17" s="16">
        <f>IF($E17="","",SUMIFS(VENTAS!$D$5:$D$504,VENTAS!$B$5:$B$504,INICIO!$C$8,VENTAS!$C$5:$C$504,$E17))</f>
        <v/>
      </c>
      <c r="G17" s="17">
        <f>IF($E17="","",SUMIFS(VENTAS!$F$5:$F$504,VENTAS!$B$5:$B$504,INICIO!$C$8,VENTAS!$C$5:$C$504,$E17))</f>
        <v/>
      </c>
      <c r="H17" s="17">
        <f>IF($E17="","",SUMIFS(VENTAS!$J$5:$J$504,VENTAS!$B$5:$B$504,INICIO!$C$8,VENTAS!$C$5:$C$504,$E17))</f>
        <v/>
      </c>
    </row>
    <row r="18">
      <c r="B18" s="6" t="inlineStr">
        <is>
          <t>Unidades necesarias al mes</t>
        </is>
      </c>
      <c r="C18" s="22">
        <f>IFERROR(EQUILIBRIO!$C$18,0)</f>
        <v/>
      </c>
      <c r="E18" s="15">
        <f>IF(PRODUCTOS!$B17="","",PRODUCTOS!$B17)</f>
        <v/>
      </c>
      <c r="F18" s="16">
        <f>IF($E18="","",SUMIFS(VENTAS!$D$5:$D$504,VENTAS!$B$5:$B$504,INICIO!$C$8,VENTAS!$C$5:$C$504,$E18))</f>
        <v/>
      </c>
      <c r="G18" s="17">
        <f>IF($E18="","",SUMIFS(VENTAS!$F$5:$F$504,VENTAS!$B$5:$B$504,INICIO!$C$8,VENTAS!$C$5:$C$504,$E18))</f>
        <v/>
      </c>
      <c r="H18" s="17">
        <f>IF($E18="","",SUMIFS(VENTAS!$J$5:$J$504,VENTAS!$B$5:$B$504,INICIO!$C$8,VENTAS!$C$5:$C$504,$E18))</f>
        <v/>
      </c>
    </row>
    <row r="19">
      <c r="B19" s="6" t="inlineStr">
        <is>
          <t>% del punto de equilibrio alcanzado</t>
        </is>
      </c>
      <c r="C19" s="23">
        <f>IFERROR($C$13/EQUILIBRIO!$C$18,0)</f>
        <v/>
      </c>
      <c r="E19" s="15">
        <f>IF(PRODUCTOS!$B18="","",PRODUCTOS!$B18)</f>
        <v/>
      </c>
      <c r="F19" s="16">
        <f>IF($E19="","",SUMIFS(VENTAS!$D$5:$D$504,VENTAS!$B$5:$B$504,INICIO!$C$8,VENTAS!$C$5:$C$504,$E19))</f>
        <v/>
      </c>
      <c r="G19" s="17">
        <f>IF($E19="","",SUMIFS(VENTAS!$F$5:$F$504,VENTAS!$B$5:$B$504,INICIO!$C$8,VENTAS!$C$5:$C$504,$E19))</f>
        <v/>
      </c>
      <c r="H19" s="17">
        <f>IF($E19="","",SUMIFS(VENTAS!$J$5:$J$504,VENTAS!$B$5:$B$504,INICIO!$C$8,VENTAS!$C$5:$C$504,$E19))</f>
        <v/>
      </c>
    </row>
    <row r="20">
      <c r="B20" s="6" t="inlineStr">
        <is>
          <t>Estado</t>
        </is>
      </c>
      <c r="C20" s="24">
        <f>IF($C$12&gt;0,"GANANDO PLATA",IF($C$13=0,"SIN DATOS","PERDIENDO PLATA"))</f>
        <v/>
      </c>
      <c r="E20" s="15">
        <f>IF(PRODUCTOS!$B19="","",PRODUCTOS!$B19)</f>
        <v/>
      </c>
      <c r="F20" s="16">
        <f>IF($E20="","",SUMIFS(VENTAS!$D$5:$D$504,VENTAS!$B$5:$B$504,INICIO!$C$8,VENTAS!$C$5:$C$504,$E20))</f>
        <v/>
      </c>
      <c r="G20" s="17">
        <f>IF($E20="","",SUMIFS(VENTAS!$F$5:$F$504,VENTAS!$B$5:$B$504,INICIO!$C$8,VENTAS!$C$5:$C$504,$E20))</f>
        <v/>
      </c>
      <c r="H20" s="17">
        <f>IF($E20="","",SUMIFS(VENTAS!$J$5:$J$504,VENTAS!$B$5:$B$504,INICIO!$C$8,VENTAS!$C$5:$C$504,$E20))</f>
        <v/>
      </c>
    </row>
    <row r="21">
      <c r="E21" s="15">
        <f>IF(PRODUCTOS!$B20="","",PRODUCTOS!$B20)</f>
        <v/>
      </c>
      <c r="F21" s="16">
        <f>IF($E21="","",SUMIFS(VENTAS!$D$5:$D$504,VENTAS!$B$5:$B$504,INICIO!$C$8,VENTAS!$C$5:$C$504,$E21))</f>
        <v/>
      </c>
      <c r="G21" s="17">
        <f>IF($E21="","",SUMIFS(VENTAS!$F$5:$F$504,VENTAS!$B$5:$B$504,INICIO!$C$8,VENTAS!$C$5:$C$504,$E21))</f>
        <v/>
      </c>
      <c r="H21" s="17">
        <f>IF($E21="","",SUMIFS(VENTAS!$J$5:$J$504,VENTAS!$B$5:$B$504,INICIO!$C$8,VENTAS!$C$5:$C$504,$E21))</f>
        <v/>
      </c>
    </row>
    <row r="22">
      <c r="E22" s="15">
        <f>IF(PRODUCTOS!$B21="","",PRODUCTOS!$B21)</f>
        <v/>
      </c>
      <c r="F22" s="16">
        <f>IF($E22="","",SUMIFS(VENTAS!$D$5:$D$504,VENTAS!$B$5:$B$504,INICIO!$C$8,VENTAS!$C$5:$C$504,$E22))</f>
        <v/>
      </c>
      <c r="G22" s="17">
        <f>IF($E22="","",SUMIFS(VENTAS!$F$5:$F$504,VENTAS!$B$5:$B$504,INICIO!$C$8,VENTAS!$C$5:$C$504,$E22))</f>
        <v/>
      </c>
      <c r="H22" s="17">
        <f>IF($E22="","",SUMIFS(VENTAS!$J$5:$J$504,VENTAS!$B$5:$B$504,INICIO!$C$8,VENTAS!$C$5:$C$504,$E22))</f>
        <v/>
      </c>
    </row>
    <row r="23">
      <c r="E23" s="15">
        <f>IF(PRODUCTOS!$B22="","",PRODUCTOS!$B22)</f>
        <v/>
      </c>
      <c r="F23" s="16">
        <f>IF($E23="","",SUMIFS(VENTAS!$D$5:$D$504,VENTAS!$B$5:$B$504,INICIO!$C$8,VENTAS!$C$5:$C$504,$E23))</f>
        <v/>
      </c>
      <c r="G23" s="17">
        <f>IF($E23="","",SUMIFS(VENTAS!$F$5:$F$504,VENTAS!$B$5:$B$504,INICIO!$C$8,VENTAS!$C$5:$C$504,$E23))</f>
        <v/>
      </c>
      <c r="H23" s="17">
        <f>IF($E23="","",SUMIFS(VENTAS!$J$5:$J$504,VENTAS!$B$5:$B$504,INICIO!$C$8,VENTAS!$C$5:$C$504,$E23))</f>
        <v/>
      </c>
    </row>
    <row r="24">
      <c r="E24" s="15">
        <f>IF(PRODUCTOS!$B23="","",PRODUCTOS!$B23)</f>
        <v/>
      </c>
      <c r="F24" s="16">
        <f>IF($E24="","",SUMIFS(VENTAS!$D$5:$D$504,VENTAS!$B$5:$B$504,INICIO!$C$8,VENTAS!$C$5:$C$504,$E24))</f>
        <v/>
      </c>
      <c r="G24" s="17">
        <f>IF($E24="","",SUMIFS(VENTAS!$F$5:$F$504,VENTAS!$B$5:$B$504,INICIO!$C$8,VENTAS!$C$5:$C$504,$E24))</f>
        <v/>
      </c>
      <c r="H24" s="17">
        <f>IF($E24="","",SUMIFS(VENTAS!$J$5:$J$504,VENTAS!$B$5:$B$504,INICIO!$C$8,VENTAS!$C$5:$C$504,$E24))</f>
        <v/>
      </c>
    </row>
    <row r="25">
      <c r="E25" s="15">
        <f>IF(PRODUCTOS!$B24="","",PRODUCTOS!$B24)</f>
        <v/>
      </c>
      <c r="F25" s="16">
        <f>IF($E25="","",SUMIFS(VENTAS!$D$5:$D$504,VENTAS!$B$5:$B$504,INICIO!$C$8,VENTAS!$C$5:$C$504,$E25))</f>
        <v/>
      </c>
      <c r="G25" s="17">
        <f>IF($E25="","",SUMIFS(VENTAS!$F$5:$F$504,VENTAS!$B$5:$B$504,INICIO!$C$8,VENTAS!$C$5:$C$504,$E25))</f>
        <v/>
      </c>
      <c r="H25" s="17">
        <f>IF($E25="","",SUMIFS(VENTAS!$J$5:$J$504,VENTAS!$B$5:$B$504,INICIO!$C$8,VENTAS!$C$5:$C$504,$E25))</f>
        <v/>
      </c>
    </row>
    <row r="26">
      <c r="E26" s="15">
        <f>IF(PRODUCTOS!$B25="","",PRODUCTOS!$B25)</f>
        <v/>
      </c>
      <c r="F26" s="16">
        <f>IF($E26="","",SUMIFS(VENTAS!$D$5:$D$504,VENTAS!$B$5:$B$504,INICIO!$C$8,VENTAS!$C$5:$C$504,$E26))</f>
        <v/>
      </c>
      <c r="G26" s="17">
        <f>IF($E26="","",SUMIFS(VENTAS!$F$5:$F$504,VENTAS!$B$5:$B$504,INICIO!$C$8,VENTAS!$C$5:$C$504,$E26))</f>
        <v/>
      </c>
      <c r="H26" s="17">
        <f>IF($E26="","",SUMIFS(VENTAS!$J$5:$J$504,VENTAS!$B$5:$B$504,INICIO!$C$8,VENTAS!$C$5:$C$504,$E26))</f>
        <v/>
      </c>
    </row>
    <row r="27">
      <c r="E27" s="15">
        <f>IF(PRODUCTOS!$B26="","",PRODUCTOS!$B26)</f>
        <v/>
      </c>
      <c r="F27" s="16">
        <f>IF($E27="","",SUMIFS(VENTAS!$D$5:$D$504,VENTAS!$B$5:$B$504,INICIO!$C$8,VENTAS!$C$5:$C$504,$E27))</f>
        <v/>
      </c>
      <c r="G27" s="17">
        <f>IF($E27="","",SUMIFS(VENTAS!$F$5:$F$504,VENTAS!$B$5:$B$504,INICIO!$C$8,VENTAS!$C$5:$C$504,$E27))</f>
        <v/>
      </c>
      <c r="H27" s="17">
        <f>IF($E27="","",SUMIFS(VENTAS!$J$5:$J$504,VENTAS!$B$5:$B$504,INICIO!$C$8,VENTAS!$C$5:$C$504,$E27))</f>
        <v/>
      </c>
    </row>
    <row r="28">
      <c r="E28" s="15">
        <f>IF(PRODUCTOS!$B27="","",PRODUCTOS!$B27)</f>
        <v/>
      </c>
      <c r="F28" s="16">
        <f>IF($E28="","",SUMIFS(VENTAS!$D$5:$D$504,VENTAS!$B$5:$B$504,INICIO!$C$8,VENTAS!$C$5:$C$504,$E28))</f>
        <v/>
      </c>
      <c r="G28" s="17">
        <f>IF($E28="","",SUMIFS(VENTAS!$F$5:$F$504,VENTAS!$B$5:$B$504,INICIO!$C$8,VENTAS!$C$5:$C$504,$E28))</f>
        <v/>
      </c>
      <c r="H28" s="17">
        <f>IF($E28="","",SUMIFS(VENTAS!$J$5:$J$504,VENTAS!$B$5:$B$504,INICIO!$C$8,VENTAS!$C$5:$C$504,$E28))</f>
        <v/>
      </c>
    </row>
    <row r="29">
      <c r="E29" s="15">
        <f>IF(PRODUCTOS!$B28="","",PRODUCTOS!$B28)</f>
        <v/>
      </c>
      <c r="F29" s="16">
        <f>IF($E29="","",SUMIFS(VENTAS!$D$5:$D$504,VENTAS!$B$5:$B$504,INICIO!$C$8,VENTAS!$C$5:$C$504,$E29))</f>
        <v/>
      </c>
      <c r="G29" s="17">
        <f>IF($E29="","",SUMIFS(VENTAS!$F$5:$F$504,VENTAS!$B$5:$B$504,INICIO!$C$8,VENTAS!$C$5:$C$504,$E29))</f>
        <v/>
      </c>
      <c r="H29" s="17">
        <f>IF($E29="","",SUMIFS(VENTAS!$J$5:$J$504,VENTAS!$B$5:$B$504,INICIO!$C$8,VENTAS!$C$5:$C$504,$E29))</f>
        <v/>
      </c>
    </row>
    <row r="30">
      <c r="E30" s="15">
        <f>IF(PRODUCTOS!$B29="","",PRODUCTOS!$B29)</f>
        <v/>
      </c>
      <c r="F30" s="16">
        <f>IF($E30="","",SUMIFS(VENTAS!$D$5:$D$504,VENTAS!$B$5:$B$504,INICIO!$C$8,VENTAS!$C$5:$C$504,$E30))</f>
        <v/>
      </c>
      <c r="G30" s="17">
        <f>IF($E30="","",SUMIFS(VENTAS!$F$5:$F$504,VENTAS!$B$5:$B$504,INICIO!$C$8,VENTAS!$C$5:$C$504,$E30))</f>
        <v/>
      </c>
      <c r="H30" s="17">
        <f>IF($E30="","",SUMIFS(VENTAS!$J$5:$J$504,VENTAS!$B$5:$B$504,INICIO!$C$8,VENTAS!$C$5:$C$504,$E30))</f>
        <v/>
      </c>
    </row>
    <row r="31">
      <c r="E31" s="15">
        <f>IF(PRODUCTOS!$B30="","",PRODUCTOS!$B30)</f>
        <v/>
      </c>
      <c r="F31" s="16">
        <f>IF($E31="","",SUMIFS(VENTAS!$D$5:$D$504,VENTAS!$B$5:$B$504,INICIO!$C$8,VENTAS!$C$5:$C$504,$E31))</f>
        <v/>
      </c>
      <c r="G31" s="17">
        <f>IF($E31="","",SUMIFS(VENTAS!$F$5:$F$504,VENTAS!$B$5:$B$504,INICIO!$C$8,VENTAS!$C$5:$C$504,$E31))</f>
        <v/>
      </c>
      <c r="H31" s="17">
        <f>IF($E31="","",SUMIFS(VENTAS!$J$5:$J$504,VENTAS!$B$5:$B$504,INICIO!$C$8,VENTAS!$C$5:$C$504,$E31))</f>
        <v/>
      </c>
    </row>
    <row r="32">
      <c r="E32" s="15">
        <f>IF(PRODUCTOS!$B31="","",PRODUCTOS!$B31)</f>
        <v/>
      </c>
      <c r="F32" s="16">
        <f>IF($E32="","",SUMIFS(VENTAS!$D$5:$D$504,VENTAS!$B$5:$B$504,INICIO!$C$8,VENTAS!$C$5:$C$504,$E32))</f>
        <v/>
      </c>
      <c r="G32" s="17">
        <f>IF($E32="","",SUMIFS(VENTAS!$F$5:$F$504,VENTAS!$B$5:$B$504,INICIO!$C$8,VENTAS!$C$5:$C$504,$E32))</f>
        <v/>
      </c>
      <c r="H32" s="17">
        <f>IF($E32="","",SUMIFS(VENTAS!$J$5:$J$504,VENTAS!$B$5:$B$504,INICIO!$C$8,VENTAS!$C$5:$C$504,$E32))</f>
        <v/>
      </c>
    </row>
    <row r="33">
      <c r="E33" s="15">
        <f>IF(PRODUCTOS!$B32="","",PRODUCTOS!$B32)</f>
        <v/>
      </c>
      <c r="F33" s="16">
        <f>IF($E33="","",SUMIFS(VENTAS!$D$5:$D$504,VENTAS!$B$5:$B$504,INICIO!$C$8,VENTAS!$C$5:$C$504,$E33))</f>
        <v/>
      </c>
      <c r="G33" s="17">
        <f>IF($E33="","",SUMIFS(VENTAS!$F$5:$F$504,VENTAS!$B$5:$B$504,INICIO!$C$8,VENTAS!$C$5:$C$504,$E33))</f>
        <v/>
      </c>
      <c r="H33" s="17">
        <f>IF($E33="","",SUMIFS(VENTAS!$J$5:$J$504,VENTAS!$B$5:$B$504,INICIO!$C$8,VENTAS!$C$5:$C$504,$E33))</f>
        <v/>
      </c>
    </row>
    <row r="34">
      <c r="E34" s="15">
        <f>IF(PRODUCTOS!$B33="","",PRODUCTOS!$B33)</f>
        <v/>
      </c>
      <c r="F34" s="16">
        <f>IF($E34="","",SUMIFS(VENTAS!$D$5:$D$504,VENTAS!$B$5:$B$504,INICIO!$C$8,VENTAS!$C$5:$C$504,$E34))</f>
        <v/>
      </c>
      <c r="G34" s="17">
        <f>IF($E34="","",SUMIFS(VENTAS!$F$5:$F$504,VENTAS!$B$5:$B$504,INICIO!$C$8,VENTAS!$C$5:$C$504,$E34))</f>
        <v/>
      </c>
      <c r="H34" s="17">
        <f>IF($E34="","",SUMIFS(VENTAS!$J$5:$J$504,VENTAS!$B$5:$B$504,INICIO!$C$8,VENTAS!$C$5:$C$504,$E34))</f>
        <v/>
      </c>
    </row>
    <row r="35">
      <c r="E35" s="15">
        <f>IF(PRODUCTOS!$B34="","",PRODUCTOS!$B34)</f>
        <v/>
      </c>
      <c r="F35" s="16">
        <f>IF($E35="","",SUMIFS(VENTAS!$D$5:$D$504,VENTAS!$B$5:$B$504,INICIO!$C$8,VENTAS!$C$5:$C$504,$E35))</f>
        <v/>
      </c>
      <c r="G35" s="17">
        <f>IF($E35="","",SUMIFS(VENTAS!$F$5:$F$504,VENTAS!$B$5:$B$504,INICIO!$C$8,VENTAS!$C$5:$C$504,$E35))</f>
        <v/>
      </c>
      <c r="H35" s="17">
        <f>IF($E35="","",SUMIFS(VENTAS!$J$5:$J$504,VENTAS!$B$5:$B$504,INICIO!$C$8,VENTAS!$C$5:$C$504,$E35))</f>
        <v/>
      </c>
    </row>
    <row r="36">
      <c r="E36" s="15">
        <f>IF(PRODUCTOS!$B35="","",PRODUCTOS!$B35)</f>
        <v/>
      </c>
      <c r="F36" s="16">
        <f>IF($E36="","",SUMIFS(VENTAS!$D$5:$D$504,VENTAS!$B$5:$B$504,INICIO!$C$8,VENTAS!$C$5:$C$504,$E36))</f>
        <v/>
      </c>
      <c r="G36" s="17">
        <f>IF($E36="","",SUMIFS(VENTAS!$F$5:$F$504,VENTAS!$B$5:$B$504,INICIO!$C$8,VENTAS!$C$5:$C$504,$E36))</f>
        <v/>
      </c>
      <c r="H36" s="17">
        <f>IF($E36="","",SUMIFS(VENTAS!$J$5:$J$504,VENTAS!$B$5:$B$504,INICIO!$C$8,VENTAS!$C$5:$C$504,$E36))</f>
        <v/>
      </c>
    </row>
    <row r="37">
      <c r="E37" s="15">
        <f>IF(PRODUCTOS!$B36="","",PRODUCTOS!$B36)</f>
        <v/>
      </c>
      <c r="F37" s="16">
        <f>IF($E37="","",SUMIFS(VENTAS!$D$5:$D$504,VENTAS!$B$5:$B$504,INICIO!$C$8,VENTAS!$C$5:$C$504,$E37))</f>
        <v/>
      </c>
      <c r="G37" s="17">
        <f>IF($E37="","",SUMIFS(VENTAS!$F$5:$F$504,VENTAS!$B$5:$B$504,INICIO!$C$8,VENTAS!$C$5:$C$504,$E37))</f>
        <v/>
      </c>
      <c r="H37" s="17">
        <f>IF($E37="","",SUMIFS(VENTAS!$J$5:$J$504,VENTAS!$B$5:$B$504,INICIO!$C$8,VENTAS!$C$5:$C$504,$E37))</f>
        <v/>
      </c>
    </row>
    <row r="38">
      <c r="E38" s="15">
        <f>IF(PRODUCTOS!$B37="","",PRODUCTOS!$B37)</f>
        <v/>
      </c>
      <c r="F38" s="16">
        <f>IF($E38="","",SUMIFS(VENTAS!$D$5:$D$504,VENTAS!$B$5:$B$504,INICIO!$C$8,VENTAS!$C$5:$C$504,$E38))</f>
        <v/>
      </c>
      <c r="G38" s="17">
        <f>IF($E38="","",SUMIFS(VENTAS!$F$5:$F$504,VENTAS!$B$5:$B$504,INICIO!$C$8,VENTAS!$C$5:$C$504,$E38))</f>
        <v/>
      </c>
      <c r="H38" s="17">
        <f>IF($E38="","",SUMIFS(VENTAS!$J$5:$J$504,VENTAS!$B$5:$B$504,INICIO!$C$8,VENTAS!$C$5:$C$504,$E38))</f>
        <v/>
      </c>
    </row>
    <row r="39">
      <c r="E39" s="15">
        <f>IF(PRODUCTOS!$B38="","",PRODUCTOS!$B38)</f>
        <v/>
      </c>
      <c r="F39" s="16">
        <f>IF($E39="","",SUMIFS(VENTAS!$D$5:$D$504,VENTAS!$B$5:$B$504,INICIO!$C$8,VENTAS!$C$5:$C$504,$E39))</f>
        <v/>
      </c>
      <c r="G39" s="17">
        <f>IF($E39="","",SUMIFS(VENTAS!$F$5:$F$504,VENTAS!$B$5:$B$504,INICIO!$C$8,VENTAS!$C$5:$C$504,$E39))</f>
        <v/>
      </c>
      <c r="H39" s="17">
        <f>IF($E39="","",SUMIFS(VENTAS!$J$5:$J$504,VENTAS!$B$5:$B$504,INICIO!$C$8,VENTAS!$C$5:$C$504,$E39))</f>
        <v/>
      </c>
    </row>
    <row r="40">
      <c r="E40" s="15">
        <f>IF(PRODUCTOS!$B39="","",PRODUCTOS!$B39)</f>
        <v/>
      </c>
      <c r="F40" s="16">
        <f>IF($E40="","",SUMIFS(VENTAS!$D$5:$D$504,VENTAS!$B$5:$B$504,INICIO!$C$8,VENTAS!$C$5:$C$504,$E40))</f>
        <v/>
      </c>
      <c r="G40" s="17">
        <f>IF($E40="","",SUMIFS(VENTAS!$F$5:$F$504,VENTAS!$B$5:$B$504,INICIO!$C$8,VENTAS!$C$5:$C$504,$E40))</f>
        <v/>
      </c>
      <c r="H40" s="17">
        <f>IF($E40="","",SUMIFS(VENTAS!$J$5:$J$504,VENTAS!$B$5:$B$504,INICIO!$C$8,VENTAS!$C$5:$C$504,$E40))</f>
        <v/>
      </c>
    </row>
    <row r="41">
      <c r="E41" s="15">
        <f>IF(PRODUCTOS!$B40="","",PRODUCTOS!$B40)</f>
        <v/>
      </c>
      <c r="F41" s="16">
        <f>IF($E41="","",SUMIFS(VENTAS!$D$5:$D$504,VENTAS!$B$5:$B$504,INICIO!$C$8,VENTAS!$C$5:$C$504,$E41))</f>
        <v/>
      </c>
      <c r="G41" s="17">
        <f>IF($E41="","",SUMIFS(VENTAS!$F$5:$F$504,VENTAS!$B$5:$B$504,INICIO!$C$8,VENTAS!$C$5:$C$504,$E41))</f>
        <v/>
      </c>
      <c r="H41" s="17">
        <f>IF($E41="","",SUMIFS(VENTAS!$J$5:$J$504,VENTAS!$B$5:$B$504,INICIO!$C$8,VENTAS!$C$5:$C$504,$E41))</f>
        <v/>
      </c>
    </row>
    <row r="42">
      <c r="E42" s="15">
        <f>IF(PRODUCTOS!$B41="","",PRODUCTOS!$B41)</f>
        <v/>
      </c>
      <c r="F42" s="16">
        <f>IF($E42="","",SUMIFS(VENTAS!$D$5:$D$504,VENTAS!$B$5:$B$504,INICIO!$C$8,VENTAS!$C$5:$C$504,$E42))</f>
        <v/>
      </c>
      <c r="G42" s="17">
        <f>IF($E42="","",SUMIFS(VENTAS!$F$5:$F$504,VENTAS!$B$5:$B$504,INICIO!$C$8,VENTAS!$C$5:$C$504,$E42))</f>
        <v/>
      </c>
      <c r="H42" s="17">
        <f>IF($E42="","",SUMIFS(VENTAS!$J$5:$J$504,VENTAS!$B$5:$B$504,INICIO!$C$8,VENTAS!$C$5:$C$504,$E42))</f>
        <v/>
      </c>
    </row>
    <row r="43">
      <c r="E43" s="15">
        <f>IF(PRODUCTOS!$B42="","",PRODUCTOS!$B42)</f>
        <v/>
      </c>
      <c r="F43" s="16">
        <f>IF($E43="","",SUMIFS(VENTAS!$D$5:$D$504,VENTAS!$B$5:$B$504,INICIO!$C$8,VENTAS!$C$5:$C$504,$E43))</f>
        <v/>
      </c>
      <c r="G43" s="17">
        <f>IF($E43="","",SUMIFS(VENTAS!$F$5:$F$504,VENTAS!$B$5:$B$504,INICIO!$C$8,VENTAS!$C$5:$C$504,$E43))</f>
        <v/>
      </c>
      <c r="H43" s="17">
        <f>IF($E43="","",SUMIFS(VENTAS!$J$5:$J$504,VENTAS!$B$5:$B$504,INICIO!$C$8,VENTAS!$C$5:$C$504,$E43))</f>
        <v/>
      </c>
    </row>
    <row r="44">
      <c r="E44" s="15">
        <f>IF(PRODUCTOS!$B43="","",PRODUCTOS!$B43)</f>
        <v/>
      </c>
      <c r="F44" s="16">
        <f>IF($E44="","",SUMIFS(VENTAS!$D$5:$D$504,VENTAS!$B$5:$B$504,INICIO!$C$8,VENTAS!$C$5:$C$504,$E44))</f>
        <v/>
      </c>
      <c r="G44" s="17">
        <f>IF($E44="","",SUMIFS(VENTAS!$F$5:$F$504,VENTAS!$B$5:$B$504,INICIO!$C$8,VENTAS!$C$5:$C$504,$E44))</f>
        <v/>
      </c>
      <c r="H44" s="17">
        <f>IF($E44="","",SUMIFS(VENTAS!$J$5:$J$504,VENTAS!$B$5:$B$504,INICIO!$C$8,VENTAS!$C$5:$C$504,$E44))</f>
        <v/>
      </c>
    </row>
    <row r="45">
      <c r="E45" s="15">
        <f>IF(PRODUCTOS!$B44="","",PRODUCTOS!$B44)</f>
        <v/>
      </c>
      <c r="F45" s="16">
        <f>IF($E45="","",SUMIFS(VENTAS!$D$5:$D$504,VENTAS!$B$5:$B$504,INICIO!$C$8,VENTAS!$C$5:$C$504,$E45))</f>
        <v/>
      </c>
      <c r="G45" s="17">
        <f>IF($E45="","",SUMIFS(VENTAS!$F$5:$F$504,VENTAS!$B$5:$B$504,INICIO!$C$8,VENTAS!$C$5:$C$504,$E45))</f>
        <v/>
      </c>
      <c r="H45" s="17">
        <f>IF($E45="","",SUMIFS(VENTAS!$J$5:$J$504,VENTAS!$B$5:$B$504,INICIO!$C$8,VENTAS!$C$5:$C$504,$E45))</f>
        <v/>
      </c>
    </row>
    <row r="47">
      <c r="E47" s="2" t="inlineStr">
        <is>
          <t>Ordena esta tabla por 'Utilidad' (Datos &gt; Ordenar) para ver que producto realmente te da de comer.</t>
        </is>
      </c>
    </row>
    <row r="48">
      <c r="E48" s="2" t="inlineStr">
        <is>
          <t>El que mas vende no siempre es el que mas deja. Ese es el punto de esta tabla.</t>
        </is>
      </c>
    </row>
  </sheetData>
  <conditionalFormatting sqref="C12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C20">
    <cfRule type="expression" priority="3" dxfId="0">
      <formula>EXACT($C$20,"PERDIENDO PLATA")</formula>
    </cfRule>
    <cfRule type="expression" priority="4" dxfId="1">
      <formula>EXACT($C$20,"GANANDO PLATA")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L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7" customWidth="1" min="4" max="4"/>
    <col width="13" customWidth="1" min="5" max="5"/>
    <col width="13" customWidth="1" min="6" max="6"/>
    <col width="12" customWidth="1" min="7" max="7"/>
    <col width="12" customWidth="1" min="8" max="8"/>
    <col width="11" customWidth="1" min="9" max="9"/>
    <col width="12" customWidth="1" min="10" max="10"/>
    <col width="16" customWidth="1" min="11" max="11"/>
    <col width="14" customWidth="1" min="12" max="12"/>
  </cols>
  <sheetData>
    <row r="1" ht="24" customHeight="1">
      <c r="A1" s="1" t="inlineStr">
        <is>
          <t>VENTAS</t>
        </is>
      </c>
    </row>
    <row r="2">
      <c r="A2" s="2" t="inlineStr">
        <is>
          <t>Una fila por venta. Solo llenas: Fecha · Producto · Cantidad · Forma de pago · Atendio. El resto se calcula solo.</t>
        </is>
      </c>
    </row>
    <row r="4" ht="30" customHeight="1">
      <c r="A4" s="25" t="inlineStr">
        <is>
          <t>Fecha</t>
        </is>
      </c>
      <c r="B4" s="25" t="inlineStr">
        <is>
          <t>Mes</t>
        </is>
      </c>
      <c r="C4" s="25" t="inlineStr">
        <is>
          <t>Producto</t>
        </is>
      </c>
      <c r="D4" s="25" t="inlineStr">
        <is>
          <t>Cant.</t>
        </is>
      </c>
      <c r="E4" s="25" t="inlineStr">
        <is>
          <t>PVP unit c/IVA</t>
        </is>
      </c>
      <c r="F4" s="25" t="inlineStr">
        <is>
          <t>TOTAL c/IVA</t>
        </is>
      </c>
      <c r="G4" s="25" t="inlineStr">
        <is>
          <t>IVA cobrado</t>
        </is>
      </c>
      <c r="H4" s="25" t="inlineStr">
        <is>
          <t>Ingreso neto</t>
        </is>
      </c>
      <c r="I4" s="25" t="inlineStr">
        <is>
          <t>Costo</t>
        </is>
      </c>
      <c r="J4" s="25" t="inlineStr">
        <is>
          <t>UTILIDAD</t>
        </is>
      </c>
      <c r="K4" s="25" t="inlineStr">
        <is>
          <t>Forma de pago</t>
        </is>
      </c>
      <c r="L4" s="25" t="inlineStr">
        <is>
          <t>Atendio</t>
        </is>
      </c>
    </row>
    <row r="5">
      <c r="A5" s="26" t="n">
        <v>46280</v>
      </c>
      <c r="B5" s="27">
        <f>IF($A5="","",TEXT($A5,"YYYY-MM"))</f>
        <v/>
      </c>
      <c r="C5" s="28" t="inlineStr">
        <is>
          <t>Coco s/alcohol</t>
        </is>
      </c>
      <c r="D5" s="29" t="n">
        <v>2</v>
      </c>
      <c r="E5" s="17">
        <f>IFERROR(IF($C5="","",INDEX(PRODUCTOS!$E$5:$E$44,MATCH($C5,PRODUCTOS!$B$5:$B$44,0))),"")</f>
        <v/>
      </c>
      <c r="F5" s="17">
        <f>IFERROR(IF($C5="","",$D5*$E5),"")</f>
        <v/>
      </c>
      <c r="G5" s="17">
        <f>IFERROR(IF($C5="","",$F5-$H5),"")</f>
        <v/>
      </c>
      <c r="H5" s="17">
        <f>IFERROR(IF($C5="","",$F5/(1+INICIO!$C$5)),"")</f>
        <v/>
      </c>
      <c r="I5" s="17">
        <f>IFERROR(IF($C5="","",$D5*INDEX(PRODUCTOS!$D$5:$D$44,MATCH($C5,PRODUCTOS!$B$5:$B$44,0))),"")</f>
        <v/>
      </c>
      <c r="J5" s="30">
        <f>IFERROR(IF($C5="","",$H5-$I5),"")</f>
        <v/>
      </c>
      <c r="K5" s="28" t="inlineStr">
        <is>
          <t>Efectivo</t>
        </is>
      </c>
      <c r="L5" s="28" t="inlineStr">
        <is>
          <t>Fabian</t>
        </is>
      </c>
    </row>
    <row r="6">
      <c r="A6" s="26" t="n"/>
      <c r="B6" s="27">
        <f>IF($A6="","",TEXT($A6,"YYYY-MM"))</f>
        <v/>
      </c>
      <c r="C6" s="28" t="n"/>
      <c r="D6" s="29" t="n"/>
      <c r="E6" s="17">
        <f>IFERROR(IF($C6="","",INDEX(PRODUCTOS!$E$5:$E$44,MATCH($C6,PRODUCTOS!$B$5:$B$44,0))),"")</f>
        <v/>
      </c>
      <c r="F6" s="17">
        <f>IFERROR(IF($C6="","",$D6*$E6),"")</f>
        <v/>
      </c>
      <c r="G6" s="17">
        <f>IFERROR(IF($C6="","",$F6-$H6),"")</f>
        <v/>
      </c>
      <c r="H6" s="17">
        <f>IFERROR(IF($C6="","",$F6/(1+INICIO!$C$5)),"")</f>
        <v/>
      </c>
      <c r="I6" s="17">
        <f>IFERROR(IF($C6="","",$D6*INDEX(PRODUCTOS!$D$5:$D$44,MATCH($C6,PRODUCTOS!$B$5:$B$44,0))),"")</f>
        <v/>
      </c>
      <c r="J6" s="30">
        <f>IFERROR(IF($C6="","",$H6-$I6),"")</f>
        <v/>
      </c>
      <c r="K6" s="28" t="n"/>
      <c r="L6" s="28" t="n"/>
    </row>
    <row r="7">
      <c r="A7" s="26" t="n"/>
      <c r="B7" s="27">
        <f>IF($A7="","",TEXT($A7,"YYYY-MM"))</f>
        <v/>
      </c>
      <c r="C7" s="28" t="n"/>
      <c r="D7" s="29" t="n"/>
      <c r="E7" s="17">
        <f>IFERROR(IF($C7="","",INDEX(PRODUCTOS!$E$5:$E$44,MATCH($C7,PRODUCTOS!$B$5:$B$44,0))),"")</f>
        <v/>
      </c>
      <c r="F7" s="17">
        <f>IFERROR(IF($C7="","",$D7*$E7),"")</f>
        <v/>
      </c>
      <c r="G7" s="17">
        <f>IFERROR(IF($C7="","",$F7-$H7),"")</f>
        <v/>
      </c>
      <c r="H7" s="17">
        <f>IFERROR(IF($C7="","",$F7/(1+INICIO!$C$5)),"")</f>
        <v/>
      </c>
      <c r="I7" s="17">
        <f>IFERROR(IF($C7="","",$D7*INDEX(PRODUCTOS!$D$5:$D$44,MATCH($C7,PRODUCTOS!$B$5:$B$44,0))),"")</f>
        <v/>
      </c>
      <c r="J7" s="30">
        <f>IFERROR(IF($C7="","",$H7-$I7),"")</f>
        <v/>
      </c>
      <c r="K7" s="28" t="n"/>
      <c r="L7" s="28" t="n"/>
    </row>
    <row r="8">
      <c r="A8" s="26" t="n"/>
      <c r="B8" s="27">
        <f>IF($A8="","",TEXT($A8,"YYYY-MM"))</f>
        <v/>
      </c>
      <c r="C8" s="28" t="n"/>
      <c r="D8" s="29" t="n"/>
      <c r="E8" s="17">
        <f>IFERROR(IF($C8="","",INDEX(PRODUCTOS!$E$5:$E$44,MATCH($C8,PRODUCTOS!$B$5:$B$44,0))),"")</f>
        <v/>
      </c>
      <c r="F8" s="17">
        <f>IFERROR(IF($C8="","",$D8*$E8),"")</f>
        <v/>
      </c>
      <c r="G8" s="17">
        <f>IFERROR(IF($C8="","",$F8-$H8),"")</f>
        <v/>
      </c>
      <c r="H8" s="17">
        <f>IFERROR(IF($C8="","",$F8/(1+INICIO!$C$5)),"")</f>
        <v/>
      </c>
      <c r="I8" s="17">
        <f>IFERROR(IF($C8="","",$D8*INDEX(PRODUCTOS!$D$5:$D$44,MATCH($C8,PRODUCTOS!$B$5:$B$44,0))),"")</f>
        <v/>
      </c>
      <c r="J8" s="30">
        <f>IFERROR(IF($C8="","",$H8-$I8),"")</f>
        <v/>
      </c>
      <c r="K8" s="28" t="n"/>
      <c r="L8" s="28" t="n"/>
    </row>
    <row r="9">
      <c r="A9" s="26" t="n"/>
      <c r="B9" s="27">
        <f>IF($A9="","",TEXT($A9,"YYYY-MM"))</f>
        <v/>
      </c>
      <c r="C9" s="28" t="n"/>
      <c r="D9" s="29" t="n"/>
      <c r="E9" s="17">
        <f>IFERROR(IF($C9="","",INDEX(PRODUCTOS!$E$5:$E$44,MATCH($C9,PRODUCTOS!$B$5:$B$44,0))),"")</f>
        <v/>
      </c>
      <c r="F9" s="17">
        <f>IFERROR(IF($C9="","",$D9*$E9),"")</f>
        <v/>
      </c>
      <c r="G9" s="17">
        <f>IFERROR(IF($C9="","",$F9-$H9),"")</f>
        <v/>
      </c>
      <c r="H9" s="17">
        <f>IFERROR(IF($C9="","",$F9/(1+INICIO!$C$5)),"")</f>
        <v/>
      </c>
      <c r="I9" s="17">
        <f>IFERROR(IF($C9="","",$D9*INDEX(PRODUCTOS!$D$5:$D$44,MATCH($C9,PRODUCTOS!$B$5:$B$44,0))),"")</f>
        <v/>
      </c>
      <c r="J9" s="30">
        <f>IFERROR(IF($C9="","",$H9-$I9),"")</f>
        <v/>
      </c>
      <c r="K9" s="28" t="n"/>
      <c r="L9" s="28" t="n"/>
    </row>
    <row r="10">
      <c r="A10" s="26" t="n"/>
      <c r="B10" s="27">
        <f>IF($A10="","",TEXT($A10,"YYYY-MM"))</f>
        <v/>
      </c>
      <c r="C10" s="28" t="n"/>
      <c r="D10" s="29" t="n"/>
      <c r="E10" s="17">
        <f>IFERROR(IF($C10="","",INDEX(PRODUCTOS!$E$5:$E$44,MATCH($C10,PRODUCTOS!$B$5:$B$44,0))),"")</f>
        <v/>
      </c>
      <c r="F10" s="17">
        <f>IFERROR(IF($C10="","",$D10*$E10),"")</f>
        <v/>
      </c>
      <c r="G10" s="17">
        <f>IFERROR(IF($C10="","",$F10-$H10),"")</f>
        <v/>
      </c>
      <c r="H10" s="17">
        <f>IFERROR(IF($C10="","",$F10/(1+INICIO!$C$5)),"")</f>
        <v/>
      </c>
      <c r="I10" s="17">
        <f>IFERROR(IF($C10="","",$D10*INDEX(PRODUCTOS!$D$5:$D$44,MATCH($C10,PRODUCTOS!$B$5:$B$44,0))),"")</f>
        <v/>
      </c>
      <c r="J10" s="30">
        <f>IFERROR(IF($C10="","",$H10-$I10),"")</f>
        <v/>
      </c>
      <c r="K10" s="28" t="n"/>
      <c r="L10" s="28" t="n"/>
    </row>
    <row r="11">
      <c r="A11" s="26" t="n"/>
      <c r="B11" s="27">
        <f>IF($A11="","",TEXT($A11,"YYYY-MM"))</f>
        <v/>
      </c>
      <c r="C11" s="28" t="n"/>
      <c r="D11" s="29" t="n"/>
      <c r="E11" s="17">
        <f>IFERROR(IF($C11="","",INDEX(PRODUCTOS!$E$5:$E$44,MATCH($C11,PRODUCTOS!$B$5:$B$44,0))),"")</f>
        <v/>
      </c>
      <c r="F11" s="17">
        <f>IFERROR(IF($C11="","",$D11*$E11),"")</f>
        <v/>
      </c>
      <c r="G11" s="17">
        <f>IFERROR(IF($C11="","",$F11-$H11),"")</f>
        <v/>
      </c>
      <c r="H11" s="17">
        <f>IFERROR(IF($C11="","",$F11/(1+INICIO!$C$5)),"")</f>
        <v/>
      </c>
      <c r="I11" s="17">
        <f>IFERROR(IF($C11="","",$D11*INDEX(PRODUCTOS!$D$5:$D$44,MATCH($C11,PRODUCTOS!$B$5:$B$44,0))),"")</f>
        <v/>
      </c>
      <c r="J11" s="30">
        <f>IFERROR(IF($C11="","",$H11-$I11),"")</f>
        <v/>
      </c>
      <c r="K11" s="28" t="n"/>
      <c r="L11" s="28" t="n"/>
    </row>
    <row r="12">
      <c r="A12" s="26" t="n"/>
      <c r="B12" s="27">
        <f>IF($A12="","",TEXT($A12,"YYYY-MM"))</f>
        <v/>
      </c>
      <c r="C12" s="28" t="n"/>
      <c r="D12" s="29" t="n"/>
      <c r="E12" s="17">
        <f>IFERROR(IF($C12="","",INDEX(PRODUCTOS!$E$5:$E$44,MATCH($C12,PRODUCTOS!$B$5:$B$44,0))),"")</f>
        <v/>
      </c>
      <c r="F12" s="17">
        <f>IFERROR(IF($C12="","",$D12*$E12),"")</f>
        <v/>
      </c>
      <c r="G12" s="17">
        <f>IFERROR(IF($C12="","",$F12-$H12),"")</f>
        <v/>
      </c>
      <c r="H12" s="17">
        <f>IFERROR(IF($C12="","",$F12/(1+INICIO!$C$5)),"")</f>
        <v/>
      </c>
      <c r="I12" s="17">
        <f>IFERROR(IF($C12="","",$D12*INDEX(PRODUCTOS!$D$5:$D$44,MATCH($C12,PRODUCTOS!$B$5:$B$44,0))),"")</f>
        <v/>
      </c>
      <c r="J12" s="30">
        <f>IFERROR(IF($C12="","",$H12-$I12),"")</f>
        <v/>
      </c>
      <c r="K12" s="28" t="n"/>
      <c r="L12" s="28" t="n"/>
    </row>
    <row r="13">
      <c r="A13" s="26" t="n"/>
      <c r="B13" s="27">
        <f>IF($A13="","",TEXT($A13,"YYYY-MM"))</f>
        <v/>
      </c>
      <c r="C13" s="28" t="n"/>
      <c r="D13" s="29" t="n"/>
      <c r="E13" s="17">
        <f>IFERROR(IF($C13="","",INDEX(PRODUCTOS!$E$5:$E$44,MATCH($C13,PRODUCTOS!$B$5:$B$44,0))),"")</f>
        <v/>
      </c>
      <c r="F13" s="17">
        <f>IFERROR(IF($C13="","",$D13*$E13),"")</f>
        <v/>
      </c>
      <c r="G13" s="17">
        <f>IFERROR(IF($C13="","",$F13-$H13),"")</f>
        <v/>
      </c>
      <c r="H13" s="17">
        <f>IFERROR(IF($C13="","",$F13/(1+INICIO!$C$5)),"")</f>
        <v/>
      </c>
      <c r="I13" s="17">
        <f>IFERROR(IF($C13="","",$D13*INDEX(PRODUCTOS!$D$5:$D$44,MATCH($C13,PRODUCTOS!$B$5:$B$44,0))),"")</f>
        <v/>
      </c>
      <c r="J13" s="30">
        <f>IFERROR(IF($C13="","",$H13-$I13),"")</f>
        <v/>
      </c>
      <c r="K13" s="28" t="n"/>
      <c r="L13" s="28" t="n"/>
    </row>
    <row r="14">
      <c r="A14" s="26" t="n"/>
      <c r="B14" s="27">
        <f>IF($A14="","",TEXT($A14,"YYYY-MM"))</f>
        <v/>
      </c>
      <c r="C14" s="28" t="n"/>
      <c r="D14" s="29" t="n"/>
      <c r="E14" s="17">
        <f>IFERROR(IF($C14="","",INDEX(PRODUCTOS!$E$5:$E$44,MATCH($C14,PRODUCTOS!$B$5:$B$44,0))),"")</f>
        <v/>
      </c>
      <c r="F14" s="17">
        <f>IFERROR(IF($C14="","",$D14*$E14),"")</f>
        <v/>
      </c>
      <c r="G14" s="17">
        <f>IFERROR(IF($C14="","",$F14-$H14),"")</f>
        <v/>
      </c>
      <c r="H14" s="17">
        <f>IFERROR(IF($C14="","",$F14/(1+INICIO!$C$5)),"")</f>
        <v/>
      </c>
      <c r="I14" s="17">
        <f>IFERROR(IF($C14="","",$D14*INDEX(PRODUCTOS!$D$5:$D$44,MATCH($C14,PRODUCTOS!$B$5:$B$44,0))),"")</f>
        <v/>
      </c>
      <c r="J14" s="30">
        <f>IFERROR(IF($C14="","",$H14-$I14),"")</f>
        <v/>
      </c>
      <c r="K14" s="28" t="n"/>
      <c r="L14" s="28" t="n"/>
    </row>
    <row r="15">
      <c r="A15" s="26" t="n"/>
      <c r="B15" s="27">
        <f>IF($A15="","",TEXT($A15,"YYYY-MM"))</f>
        <v/>
      </c>
      <c r="C15" s="28" t="n"/>
      <c r="D15" s="29" t="n"/>
      <c r="E15" s="17">
        <f>IFERROR(IF($C15="","",INDEX(PRODUCTOS!$E$5:$E$44,MATCH($C15,PRODUCTOS!$B$5:$B$44,0))),"")</f>
        <v/>
      </c>
      <c r="F15" s="17">
        <f>IFERROR(IF($C15="","",$D15*$E15),"")</f>
        <v/>
      </c>
      <c r="G15" s="17">
        <f>IFERROR(IF($C15="","",$F15-$H15),"")</f>
        <v/>
      </c>
      <c r="H15" s="17">
        <f>IFERROR(IF($C15="","",$F15/(1+INICIO!$C$5)),"")</f>
        <v/>
      </c>
      <c r="I15" s="17">
        <f>IFERROR(IF($C15="","",$D15*INDEX(PRODUCTOS!$D$5:$D$44,MATCH($C15,PRODUCTOS!$B$5:$B$44,0))),"")</f>
        <v/>
      </c>
      <c r="J15" s="30">
        <f>IFERROR(IF($C15="","",$H15-$I15),"")</f>
        <v/>
      </c>
      <c r="K15" s="28" t="n"/>
      <c r="L15" s="28" t="n"/>
    </row>
    <row r="16">
      <c r="A16" s="26" t="n"/>
      <c r="B16" s="27">
        <f>IF($A16="","",TEXT($A16,"YYYY-MM"))</f>
        <v/>
      </c>
      <c r="C16" s="28" t="n"/>
      <c r="D16" s="29" t="n"/>
      <c r="E16" s="17">
        <f>IFERROR(IF($C16="","",INDEX(PRODUCTOS!$E$5:$E$44,MATCH($C16,PRODUCTOS!$B$5:$B$44,0))),"")</f>
        <v/>
      </c>
      <c r="F16" s="17">
        <f>IFERROR(IF($C16="","",$D16*$E16),"")</f>
        <v/>
      </c>
      <c r="G16" s="17">
        <f>IFERROR(IF($C16="","",$F16-$H16),"")</f>
        <v/>
      </c>
      <c r="H16" s="17">
        <f>IFERROR(IF($C16="","",$F16/(1+INICIO!$C$5)),"")</f>
        <v/>
      </c>
      <c r="I16" s="17">
        <f>IFERROR(IF($C16="","",$D16*INDEX(PRODUCTOS!$D$5:$D$44,MATCH($C16,PRODUCTOS!$B$5:$B$44,0))),"")</f>
        <v/>
      </c>
      <c r="J16" s="30">
        <f>IFERROR(IF($C16="","",$H16-$I16),"")</f>
        <v/>
      </c>
      <c r="K16" s="28" t="n"/>
      <c r="L16" s="28" t="n"/>
    </row>
    <row r="17">
      <c r="A17" s="26" t="n"/>
      <c r="B17" s="27">
        <f>IF($A17="","",TEXT($A17,"YYYY-MM"))</f>
        <v/>
      </c>
      <c r="C17" s="28" t="n"/>
      <c r="D17" s="29" t="n"/>
      <c r="E17" s="17">
        <f>IFERROR(IF($C17="","",INDEX(PRODUCTOS!$E$5:$E$44,MATCH($C17,PRODUCTOS!$B$5:$B$44,0))),"")</f>
        <v/>
      </c>
      <c r="F17" s="17">
        <f>IFERROR(IF($C17="","",$D17*$E17),"")</f>
        <v/>
      </c>
      <c r="G17" s="17">
        <f>IFERROR(IF($C17="","",$F17-$H17),"")</f>
        <v/>
      </c>
      <c r="H17" s="17">
        <f>IFERROR(IF($C17="","",$F17/(1+INICIO!$C$5)),"")</f>
        <v/>
      </c>
      <c r="I17" s="17">
        <f>IFERROR(IF($C17="","",$D17*INDEX(PRODUCTOS!$D$5:$D$44,MATCH($C17,PRODUCTOS!$B$5:$B$44,0))),"")</f>
        <v/>
      </c>
      <c r="J17" s="30">
        <f>IFERROR(IF($C17="","",$H17-$I17),"")</f>
        <v/>
      </c>
      <c r="K17" s="28" t="n"/>
      <c r="L17" s="28" t="n"/>
    </row>
    <row r="18">
      <c r="A18" s="26" t="n"/>
      <c r="B18" s="27">
        <f>IF($A18="","",TEXT($A18,"YYYY-MM"))</f>
        <v/>
      </c>
      <c r="C18" s="28" t="n"/>
      <c r="D18" s="29" t="n"/>
      <c r="E18" s="17">
        <f>IFERROR(IF($C18="","",INDEX(PRODUCTOS!$E$5:$E$44,MATCH($C18,PRODUCTOS!$B$5:$B$44,0))),"")</f>
        <v/>
      </c>
      <c r="F18" s="17">
        <f>IFERROR(IF($C18="","",$D18*$E18),"")</f>
        <v/>
      </c>
      <c r="G18" s="17">
        <f>IFERROR(IF($C18="","",$F18-$H18),"")</f>
        <v/>
      </c>
      <c r="H18" s="17">
        <f>IFERROR(IF($C18="","",$F18/(1+INICIO!$C$5)),"")</f>
        <v/>
      </c>
      <c r="I18" s="17">
        <f>IFERROR(IF($C18="","",$D18*INDEX(PRODUCTOS!$D$5:$D$44,MATCH($C18,PRODUCTOS!$B$5:$B$44,0))),"")</f>
        <v/>
      </c>
      <c r="J18" s="30">
        <f>IFERROR(IF($C18="","",$H18-$I18),"")</f>
        <v/>
      </c>
      <c r="K18" s="28" t="n"/>
      <c r="L18" s="28" t="n"/>
    </row>
    <row r="19">
      <c r="A19" s="26" t="n"/>
      <c r="B19" s="27">
        <f>IF($A19="","",TEXT($A19,"YYYY-MM"))</f>
        <v/>
      </c>
      <c r="C19" s="28" t="n"/>
      <c r="D19" s="29" t="n"/>
      <c r="E19" s="17">
        <f>IFERROR(IF($C19="","",INDEX(PRODUCTOS!$E$5:$E$44,MATCH($C19,PRODUCTOS!$B$5:$B$44,0))),"")</f>
        <v/>
      </c>
      <c r="F19" s="17">
        <f>IFERROR(IF($C19="","",$D19*$E19),"")</f>
        <v/>
      </c>
      <c r="G19" s="17">
        <f>IFERROR(IF($C19="","",$F19-$H19),"")</f>
        <v/>
      </c>
      <c r="H19" s="17">
        <f>IFERROR(IF($C19="","",$F19/(1+INICIO!$C$5)),"")</f>
        <v/>
      </c>
      <c r="I19" s="17">
        <f>IFERROR(IF($C19="","",$D19*INDEX(PRODUCTOS!$D$5:$D$44,MATCH($C19,PRODUCTOS!$B$5:$B$44,0))),"")</f>
        <v/>
      </c>
      <c r="J19" s="30">
        <f>IFERROR(IF($C19="","",$H19-$I19),"")</f>
        <v/>
      </c>
      <c r="K19" s="28" t="n"/>
      <c r="L19" s="28" t="n"/>
    </row>
    <row r="20">
      <c r="A20" s="26" t="n"/>
      <c r="B20" s="27">
        <f>IF($A20="","",TEXT($A20,"YYYY-MM"))</f>
        <v/>
      </c>
      <c r="C20" s="28" t="n"/>
      <c r="D20" s="29" t="n"/>
      <c r="E20" s="17">
        <f>IFERROR(IF($C20="","",INDEX(PRODUCTOS!$E$5:$E$44,MATCH($C20,PRODUCTOS!$B$5:$B$44,0))),"")</f>
        <v/>
      </c>
      <c r="F20" s="17">
        <f>IFERROR(IF($C20="","",$D20*$E20),"")</f>
        <v/>
      </c>
      <c r="G20" s="17">
        <f>IFERROR(IF($C20="","",$F20-$H20),"")</f>
        <v/>
      </c>
      <c r="H20" s="17">
        <f>IFERROR(IF($C20="","",$F20/(1+INICIO!$C$5)),"")</f>
        <v/>
      </c>
      <c r="I20" s="17">
        <f>IFERROR(IF($C20="","",$D20*INDEX(PRODUCTOS!$D$5:$D$44,MATCH($C20,PRODUCTOS!$B$5:$B$44,0))),"")</f>
        <v/>
      </c>
      <c r="J20" s="30">
        <f>IFERROR(IF($C20="","",$H20-$I20),"")</f>
        <v/>
      </c>
      <c r="K20" s="28" t="n"/>
      <c r="L20" s="28" t="n"/>
    </row>
    <row r="21">
      <c r="A21" s="26" t="n"/>
      <c r="B21" s="27">
        <f>IF($A21="","",TEXT($A21,"YYYY-MM"))</f>
        <v/>
      </c>
      <c r="C21" s="28" t="n"/>
      <c r="D21" s="29" t="n"/>
      <c r="E21" s="17">
        <f>IFERROR(IF($C21="","",INDEX(PRODUCTOS!$E$5:$E$44,MATCH($C21,PRODUCTOS!$B$5:$B$44,0))),"")</f>
        <v/>
      </c>
      <c r="F21" s="17">
        <f>IFERROR(IF($C21="","",$D21*$E21),"")</f>
        <v/>
      </c>
      <c r="G21" s="17">
        <f>IFERROR(IF($C21="","",$F21-$H21),"")</f>
        <v/>
      </c>
      <c r="H21" s="17">
        <f>IFERROR(IF($C21="","",$F21/(1+INICIO!$C$5)),"")</f>
        <v/>
      </c>
      <c r="I21" s="17">
        <f>IFERROR(IF($C21="","",$D21*INDEX(PRODUCTOS!$D$5:$D$44,MATCH($C21,PRODUCTOS!$B$5:$B$44,0))),"")</f>
        <v/>
      </c>
      <c r="J21" s="30">
        <f>IFERROR(IF($C21="","",$H21-$I21),"")</f>
        <v/>
      </c>
      <c r="K21" s="28" t="n"/>
      <c r="L21" s="28" t="n"/>
    </row>
    <row r="22">
      <c r="A22" s="26" t="n"/>
      <c r="B22" s="27">
        <f>IF($A22="","",TEXT($A22,"YYYY-MM"))</f>
        <v/>
      </c>
      <c r="C22" s="28" t="n"/>
      <c r="D22" s="29" t="n"/>
      <c r="E22" s="17">
        <f>IFERROR(IF($C22="","",INDEX(PRODUCTOS!$E$5:$E$44,MATCH($C22,PRODUCTOS!$B$5:$B$44,0))),"")</f>
        <v/>
      </c>
      <c r="F22" s="17">
        <f>IFERROR(IF($C22="","",$D22*$E22),"")</f>
        <v/>
      </c>
      <c r="G22" s="17">
        <f>IFERROR(IF($C22="","",$F22-$H22),"")</f>
        <v/>
      </c>
      <c r="H22" s="17">
        <f>IFERROR(IF($C22="","",$F22/(1+INICIO!$C$5)),"")</f>
        <v/>
      </c>
      <c r="I22" s="17">
        <f>IFERROR(IF($C22="","",$D22*INDEX(PRODUCTOS!$D$5:$D$44,MATCH($C22,PRODUCTOS!$B$5:$B$44,0))),"")</f>
        <v/>
      </c>
      <c r="J22" s="30">
        <f>IFERROR(IF($C22="","",$H22-$I22),"")</f>
        <v/>
      </c>
      <c r="K22" s="28" t="n"/>
      <c r="L22" s="28" t="n"/>
    </row>
    <row r="23">
      <c r="A23" s="26" t="n"/>
      <c r="B23" s="27">
        <f>IF($A23="","",TEXT($A23,"YYYY-MM"))</f>
        <v/>
      </c>
      <c r="C23" s="28" t="n"/>
      <c r="D23" s="29" t="n"/>
      <c r="E23" s="17">
        <f>IFERROR(IF($C23="","",INDEX(PRODUCTOS!$E$5:$E$44,MATCH($C23,PRODUCTOS!$B$5:$B$44,0))),"")</f>
        <v/>
      </c>
      <c r="F23" s="17">
        <f>IFERROR(IF($C23="","",$D23*$E23),"")</f>
        <v/>
      </c>
      <c r="G23" s="17">
        <f>IFERROR(IF($C23="","",$F23-$H23),"")</f>
        <v/>
      </c>
      <c r="H23" s="17">
        <f>IFERROR(IF($C23="","",$F23/(1+INICIO!$C$5)),"")</f>
        <v/>
      </c>
      <c r="I23" s="17">
        <f>IFERROR(IF($C23="","",$D23*INDEX(PRODUCTOS!$D$5:$D$44,MATCH($C23,PRODUCTOS!$B$5:$B$44,0))),"")</f>
        <v/>
      </c>
      <c r="J23" s="30">
        <f>IFERROR(IF($C23="","",$H23-$I23),"")</f>
        <v/>
      </c>
      <c r="K23" s="28" t="n"/>
      <c r="L23" s="28" t="n"/>
    </row>
    <row r="24">
      <c r="A24" s="26" t="n"/>
      <c r="B24" s="27">
        <f>IF($A24="","",TEXT($A24,"YYYY-MM"))</f>
        <v/>
      </c>
      <c r="C24" s="28" t="n"/>
      <c r="D24" s="29" t="n"/>
      <c r="E24" s="17">
        <f>IFERROR(IF($C24="","",INDEX(PRODUCTOS!$E$5:$E$44,MATCH($C24,PRODUCTOS!$B$5:$B$44,0))),"")</f>
        <v/>
      </c>
      <c r="F24" s="17">
        <f>IFERROR(IF($C24="","",$D24*$E24),"")</f>
        <v/>
      </c>
      <c r="G24" s="17">
        <f>IFERROR(IF($C24="","",$F24-$H24),"")</f>
        <v/>
      </c>
      <c r="H24" s="17">
        <f>IFERROR(IF($C24="","",$F24/(1+INICIO!$C$5)),"")</f>
        <v/>
      </c>
      <c r="I24" s="17">
        <f>IFERROR(IF($C24="","",$D24*INDEX(PRODUCTOS!$D$5:$D$44,MATCH($C24,PRODUCTOS!$B$5:$B$44,0))),"")</f>
        <v/>
      </c>
      <c r="J24" s="30">
        <f>IFERROR(IF($C24="","",$H24-$I24),"")</f>
        <v/>
      </c>
      <c r="K24" s="28" t="n"/>
      <c r="L24" s="28" t="n"/>
    </row>
    <row r="25">
      <c r="A25" s="26" t="n"/>
      <c r="B25" s="27">
        <f>IF($A25="","",TEXT($A25,"YYYY-MM"))</f>
        <v/>
      </c>
      <c r="C25" s="28" t="n"/>
      <c r="D25" s="29" t="n"/>
      <c r="E25" s="17">
        <f>IFERROR(IF($C25="","",INDEX(PRODUCTOS!$E$5:$E$44,MATCH($C25,PRODUCTOS!$B$5:$B$44,0))),"")</f>
        <v/>
      </c>
      <c r="F25" s="17">
        <f>IFERROR(IF($C25="","",$D25*$E25),"")</f>
        <v/>
      </c>
      <c r="G25" s="17">
        <f>IFERROR(IF($C25="","",$F25-$H25),"")</f>
        <v/>
      </c>
      <c r="H25" s="17">
        <f>IFERROR(IF($C25="","",$F25/(1+INICIO!$C$5)),"")</f>
        <v/>
      </c>
      <c r="I25" s="17">
        <f>IFERROR(IF($C25="","",$D25*INDEX(PRODUCTOS!$D$5:$D$44,MATCH($C25,PRODUCTOS!$B$5:$B$44,0))),"")</f>
        <v/>
      </c>
      <c r="J25" s="30">
        <f>IFERROR(IF($C25="","",$H25-$I25),"")</f>
        <v/>
      </c>
      <c r="K25" s="28" t="n"/>
      <c r="L25" s="28" t="n"/>
    </row>
    <row r="26">
      <c r="A26" s="26" t="n"/>
      <c r="B26" s="27">
        <f>IF($A26="","",TEXT($A26,"YYYY-MM"))</f>
        <v/>
      </c>
      <c r="C26" s="28" t="n"/>
      <c r="D26" s="29" t="n"/>
      <c r="E26" s="17">
        <f>IFERROR(IF($C26="","",INDEX(PRODUCTOS!$E$5:$E$44,MATCH($C26,PRODUCTOS!$B$5:$B$44,0))),"")</f>
        <v/>
      </c>
      <c r="F26" s="17">
        <f>IFERROR(IF($C26="","",$D26*$E26),"")</f>
        <v/>
      </c>
      <c r="G26" s="17">
        <f>IFERROR(IF($C26="","",$F26-$H26),"")</f>
        <v/>
      </c>
      <c r="H26" s="17">
        <f>IFERROR(IF($C26="","",$F26/(1+INICIO!$C$5)),"")</f>
        <v/>
      </c>
      <c r="I26" s="17">
        <f>IFERROR(IF($C26="","",$D26*INDEX(PRODUCTOS!$D$5:$D$44,MATCH($C26,PRODUCTOS!$B$5:$B$44,0))),"")</f>
        <v/>
      </c>
      <c r="J26" s="30">
        <f>IFERROR(IF($C26="","",$H26-$I26),"")</f>
        <v/>
      </c>
      <c r="K26" s="28" t="n"/>
      <c r="L26" s="28" t="n"/>
    </row>
    <row r="27">
      <c r="A27" s="26" t="n"/>
      <c r="B27" s="27">
        <f>IF($A27="","",TEXT($A27,"YYYY-MM"))</f>
        <v/>
      </c>
      <c r="C27" s="28" t="n"/>
      <c r="D27" s="29" t="n"/>
      <c r="E27" s="17">
        <f>IFERROR(IF($C27="","",INDEX(PRODUCTOS!$E$5:$E$44,MATCH($C27,PRODUCTOS!$B$5:$B$44,0))),"")</f>
        <v/>
      </c>
      <c r="F27" s="17">
        <f>IFERROR(IF($C27="","",$D27*$E27),"")</f>
        <v/>
      </c>
      <c r="G27" s="17">
        <f>IFERROR(IF($C27="","",$F27-$H27),"")</f>
        <v/>
      </c>
      <c r="H27" s="17">
        <f>IFERROR(IF($C27="","",$F27/(1+INICIO!$C$5)),"")</f>
        <v/>
      </c>
      <c r="I27" s="17">
        <f>IFERROR(IF($C27="","",$D27*INDEX(PRODUCTOS!$D$5:$D$44,MATCH($C27,PRODUCTOS!$B$5:$B$44,0))),"")</f>
        <v/>
      </c>
      <c r="J27" s="30">
        <f>IFERROR(IF($C27="","",$H27-$I27),"")</f>
        <v/>
      </c>
      <c r="K27" s="28" t="n"/>
      <c r="L27" s="28" t="n"/>
    </row>
    <row r="28">
      <c r="A28" s="26" t="n"/>
      <c r="B28" s="27">
        <f>IF($A28="","",TEXT($A28,"YYYY-MM"))</f>
        <v/>
      </c>
      <c r="C28" s="28" t="n"/>
      <c r="D28" s="29" t="n"/>
      <c r="E28" s="17">
        <f>IFERROR(IF($C28="","",INDEX(PRODUCTOS!$E$5:$E$44,MATCH($C28,PRODUCTOS!$B$5:$B$44,0))),"")</f>
        <v/>
      </c>
      <c r="F28" s="17">
        <f>IFERROR(IF($C28="","",$D28*$E28),"")</f>
        <v/>
      </c>
      <c r="G28" s="17">
        <f>IFERROR(IF($C28="","",$F28-$H28),"")</f>
        <v/>
      </c>
      <c r="H28" s="17">
        <f>IFERROR(IF($C28="","",$F28/(1+INICIO!$C$5)),"")</f>
        <v/>
      </c>
      <c r="I28" s="17">
        <f>IFERROR(IF($C28="","",$D28*INDEX(PRODUCTOS!$D$5:$D$44,MATCH($C28,PRODUCTOS!$B$5:$B$44,0))),"")</f>
        <v/>
      </c>
      <c r="J28" s="30">
        <f>IFERROR(IF($C28="","",$H28-$I28),"")</f>
        <v/>
      </c>
      <c r="K28" s="28" t="n"/>
      <c r="L28" s="28" t="n"/>
    </row>
    <row r="29">
      <c r="A29" s="26" t="n"/>
      <c r="B29" s="27">
        <f>IF($A29="","",TEXT($A29,"YYYY-MM"))</f>
        <v/>
      </c>
      <c r="C29" s="28" t="n"/>
      <c r="D29" s="29" t="n"/>
      <c r="E29" s="17">
        <f>IFERROR(IF($C29="","",INDEX(PRODUCTOS!$E$5:$E$44,MATCH($C29,PRODUCTOS!$B$5:$B$44,0))),"")</f>
        <v/>
      </c>
      <c r="F29" s="17">
        <f>IFERROR(IF($C29="","",$D29*$E29),"")</f>
        <v/>
      </c>
      <c r="G29" s="17">
        <f>IFERROR(IF($C29="","",$F29-$H29),"")</f>
        <v/>
      </c>
      <c r="H29" s="17">
        <f>IFERROR(IF($C29="","",$F29/(1+INICIO!$C$5)),"")</f>
        <v/>
      </c>
      <c r="I29" s="17">
        <f>IFERROR(IF($C29="","",$D29*INDEX(PRODUCTOS!$D$5:$D$44,MATCH($C29,PRODUCTOS!$B$5:$B$44,0))),"")</f>
        <v/>
      </c>
      <c r="J29" s="30">
        <f>IFERROR(IF($C29="","",$H29-$I29),"")</f>
        <v/>
      </c>
      <c r="K29" s="28" t="n"/>
      <c r="L29" s="28" t="n"/>
    </row>
    <row r="30">
      <c r="A30" s="26" t="n"/>
      <c r="B30" s="27">
        <f>IF($A30="","",TEXT($A30,"YYYY-MM"))</f>
        <v/>
      </c>
      <c r="C30" s="28" t="n"/>
      <c r="D30" s="29" t="n"/>
      <c r="E30" s="17">
        <f>IFERROR(IF($C30="","",INDEX(PRODUCTOS!$E$5:$E$44,MATCH($C30,PRODUCTOS!$B$5:$B$44,0))),"")</f>
        <v/>
      </c>
      <c r="F30" s="17">
        <f>IFERROR(IF($C30="","",$D30*$E30),"")</f>
        <v/>
      </c>
      <c r="G30" s="17">
        <f>IFERROR(IF($C30="","",$F30-$H30),"")</f>
        <v/>
      </c>
      <c r="H30" s="17">
        <f>IFERROR(IF($C30="","",$F30/(1+INICIO!$C$5)),"")</f>
        <v/>
      </c>
      <c r="I30" s="17">
        <f>IFERROR(IF($C30="","",$D30*INDEX(PRODUCTOS!$D$5:$D$44,MATCH($C30,PRODUCTOS!$B$5:$B$44,0))),"")</f>
        <v/>
      </c>
      <c r="J30" s="30">
        <f>IFERROR(IF($C30="","",$H30-$I30),"")</f>
        <v/>
      </c>
      <c r="K30" s="28" t="n"/>
      <c r="L30" s="28" t="n"/>
    </row>
    <row r="31">
      <c r="A31" s="26" t="n"/>
      <c r="B31" s="27">
        <f>IF($A31="","",TEXT($A31,"YYYY-MM"))</f>
        <v/>
      </c>
      <c r="C31" s="28" t="n"/>
      <c r="D31" s="29" t="n"/>
      <c r="E31" s="17">
        <f>IFERROR(IF($C31="","",INDEX(PRODUCTOS!$E$5:$E$44,MATCH($C31,PRODUCTOS!$B$5:$B$44,0))),"")</f>
        <v/>
      </c>
      <c r="F31" s="17">
        <f>IFERROR(IF($C31="","",$D31*$E31),"")</f>
        <v/>
      </c>
      <c r="G31" s="17">
        <f>IFERROR(IF($C31="","",$F31-$H31),"")</f>
        <v/>
      </c>
      <c r="H31" s="17">
        <f>IFERROR(IF($C31="","",$F31/(1+INICIO!$C$5)),"")</f>
        <v/>
      </c>
      <c r="I31" s="17">
        <f>IFERROR(IF($C31="","",$D31*INDEX(PRODUCTOS!$D$5:$D$44,MATCH($C31,PRODUCTOS!$B$5:$B$44,0))),"")</f>
        <v/>
      </c>
      <c r="J31" s="30">
        <f>IFERROR(IF($C31="","",$H31-$I31),"")</f>
        <v/>
      </c>
      <c r="K31" s="28" t="n"/>
      <c r="L31" s="28" t="n"/>
    </row>
    <row r="32">
      <c r="A32" s="26" t="n"/>
      <c r="B32" s="27">
        <f>IF($A32="","",TEXT($A32,"YYYY-MM"))</f>
        <v/>
      </c>
      <c r="C32" s="28" t="n"/>
      <c r="D32" s="29" t="n"/>
      <c r="E32" s="17">
        <f>IFERROR(IF($C32="","",INDEX(PRODUCTOS!$E$5:$E$44,MATCH($C32,PRODUCTOS!$B$5:$B$44,0))),"")</f>
        <v/>
      </c>
      <c r="F32" s="17">
        <f>IFERROR(IF($C32="","",$D32*$E32),"")</f>
        <v/>
      </c>
      <c r="G32" s="17">
        <f>IFERROR(IF($C32="","",$F32-$H32),"")</f>
        <v/>
      </c>
      <c r="H32" s="17">
        <f>IFERROR(IF($C32="","",$F32/(1+INICIO!$C$5)),"")</f>
        <v/>
      </c>
      <c r="I32" s="17">
        <f>IFERROR(IF($C32="","",$D32*INDEX(PRODUCTOS!$D$5:$D$44,MATCH($C32,PRODUCTOS!$B$5:$B$44,0))),"")</f>
        <v/>
      </c>
      <c r="J32" s="30">
        <f>IFERROR(IF($C32="","",$H32-$I32),"")</f>
        <v/>
      </c>
      <c r="K32" s="28" t="n"/>
      <c r="L32" s="28" t="n"/>
    </row>
    <row r="33">
      <c r="A33" s="26" t="n"/>
      <c r="B33" s="27">
        <f>IF($A33="","",TEXT($A33,"YYYY-MM"))</f>
        <v/>
      </c>
      <c r="C33" s="28" t="n"/>
      <c r="D33" s="29" t="n"/>
      <c r="E33" s="17">
        <f>IFERROR(IF($C33="","",INDEX(PRODUCTOS!$E$5:$E$44,MATCH($C33,PRODUCTOS!$B$5:$B$44,0))),"")</f>
        <v/>
      </c>
      <c r="F33" s="17">
        <f>IFERROR(IF($C33="","",$D33*$E33),"")</f>
        <v/>
      </c>
      <c r="G33" s="17">
        <f>IFERROR(IF($C33="","",$F33-$H33),"")</f>
        <v/>
      </c>
      <c r="H33" s="17">
        <f>IFERROR(IF($C33="","",$F33/(1+INICIO!$C$5)),"")</f>
        <v/>
      </c>
      <c r="I33" s="17">
        <f>IFERROR(IF($C33="","",$D33*INDEX(PRODUCTOS!$D$5:$D$44,MATCH($C33,PRODUCTOS!$B$5:$B$44,0))),"")</f>
        <v/>
      </c>
      <c r="J33" s="30">
        <f>IFERROR(IF($C33="","",$H33-$I33),"")</f>
        <v/>
      </c>
      <c r="K33" s="28" t="n"/>
      <c r="L33" s="28" t="n"/>
    </row>
    <row r="34">
      <c r="A34" s="26" t="n"/>
      <c r="B34" s="27">
        <f>IF($A34="","",TEXT($A34,"YYYY-MM"))</f>
        <v/>
      </c>
      <c r="C34" s="28" t="n"/>
      <c r="D34" s="29" t="n"/>
      <c r="E34" s="17">
        <f>IFERROR(IF($C34="","",INDEX(PRODUCTOS!$E$5:$E$44,MATCH($C34,PRODUCTOS!$B$5:$B$44,0))),"")</f>
        <v/>
      </c>
      <c r="F34" s="17">
        <f>IFERROR(IF($C34="","",$D34*$E34),"")</f>
        <v/>
      </c>
      <c r="G34" s="17">
        <f>IFERROR(IF($C34="","",$F34-$H34),"")</f>
        <v/>
      </c>
      <c r="H34" s="17">
        <f>IFERROR(IF($C34="","",$F34/(1+INICIO!$C$5)),"")</f>
        <v/>
      </c>
      <c r="I34" s="17">
        <f>IFERROR(IF($C34="","",$D34*INDEX(PRODUCTOS!$D$5:$D$44,MATCH($C34,PRODUCTOS!$B$5:$B$44,0))),"")</f>
        <v/>
      </c>
      <c r="J34" s="30">
        <f>IFERROR(IF($C34="","",$H34-$I34),"")</f>
        <v/>
      </c>
      <c r="K34" s="28" t="n"/>
      <c r="L34" s="28" t="n"/>
    </row>
    <row r="35">
      <c r="A35" s="26" t="n"/>
      <c r="B35" s="27">
        <f>IF($A35="","",TEXT($A35,"YYYY-MM"))</f>
        <v/>
      </c>
      <c r="C35" s="28" t="n"/>
      <c r="D35" s="29" t="n"/>
      <c r="E35" s="17">
        <f>IFERROR(IF($C35="","",INDEX(PRODUCTOS!$E$5:$E$44,MATCH($C35,PRODUCTOS!$B$5:$B$44,0))),"")</f>
        <v/>
      </c>
      <c r="F35" s="17">
        <f>IFERROR(IF($C35="","",$D35*$E35),"")</f>
        <v/>
      </c>
      <c r="G35" s="17">
        <f>IFERROR(IF($C35="","",$F35-$H35),"")</f>
        <v/>
      </c>
      <c r="H35" s="17">
        <f>IFERROR(IF($C35="","",$F35/(1+INICIO!$C$5)),"")</f>
        <v/>
      </c>
      <c r="I35" s="17">
        <f>IFERROR(IF($C35="","",$D35*INDEX(PRODUCTOS!$D$5:$D$44,MATCH($C35,PRODUCTOS!$B$5:$B$44,0))),"")</f>
        <v/>
      </c>
      <c r="J35" s="30">
        <f>IFERROR(IF($C35="","",$H35-$I35),"")</f>
        <v/>
      </c>
      <c r="K35" s="28" t="n"/>
      <c r="L35" s="28" t="n"/>
    </row>
    <row r="36">
      <c r="A36" s="26" t="n"/>
      <c r="B36" s="27">
        <f>IF($A36="","",TEXT($A36,"YYYY-MM"))</f>
        <v/>
      </c>
      <c r="C36" s="28" t="n"/>
      <c r="D36" s="29" t="n"/>
      <c r="E36" s="17">
        <f>IFERROR(IF($C36="","",INDEX(PRODUCTOS!$E$5:$E$44,MATCH($C36,PRODUCTOS!$B$5:$B$44,0))),"")</f>
        <v/>
      </c>
      <c r="F36" s="17">
        <f>IFERROR(IF($C36="","",$D36*$E36),"")</f>
        <v/>
      </c>
      <c r="G36" s="17">
        <f>IFERROR(IF($C36="","",$F36-$H36),"")</f>
        <v/>
      </c>
      <c r="H36" s="17">
        <f>IFERROR(IF($C36="","",$F36/(1+INICIO!$C$5)),"")</f>
        <v/>
      </c>
      <c r="I36" s="17">
        <f>IFERROR(IF($C36="","",$D36*INDEX(PRODUCTOS!$D$5:$D$44,MATCH($C36,PRODUCTOS!$B$5:$B$44,0))),"")</f>
        <v/>
      </c>
      <c r="J36" s="30">
        <f>IFERROR(IF($C36="","",$H36-$I36),"")</f>
        <v/>
      </c>
      <c r="K36" s="28" t="n"/>
      <c r="L36" s="28" t="n"/>
    </row>
    <row r="37">
      <c r="A37" s="26" t="n"/>
      <c r="B37" s="27">
        <f>IF($A37="","",TEXT($A37,"YYYY-MM"))</f>
        <v/>
      </c>
      <c r="C37" s="28" t="n"/>
      <c r="D37" s="29" t="n"/>
      <c r="E37" s="17">
        <f>IFERROR(IF($C37="","",INDEX(PRODUCTOS!$E$5:$E$44,MATCH($C37,PRODUCTOS!$B$5:$B$44,0))),"")</f>
        <v/>
      </c>
      <c r="F37" s="17">
        <f>IFERROR(IF($C37="","",$D37*$E37),"")</f>
        <v/>
      </c>
      <c r="G37" s="17">
        <f>IFERROR(IF($C37="","",$F37-$H37),"")</f>
        <v/>
      </c>
      <c r="H37" s="17">
        <f>IFERROR(IF($C37="","",$F37/(1+INICIO!$C$5)),"")</f>
        <v/>
      </c>
      <c r="I37" s="17">
        <f>IFERROR(IF($C37="","",$D37*INDEX(PRODUCTOS!$D$5:$D$44,MATCH($C37,PRODUCTOS!$B$5:$B$44,0))),"")</f>
        <v/>
      </c>
      <c r="J37" s="30">
        <f>IFERROR(IF($C37="","",$H37-$I37),"")</f>
        <v/>
      </c>
      <c r="K37" s="28" t="n"/>
      <c r="L37" s="28" t="n"/>
    </row>
    <row r="38">
      <c r="A38" s="26" t="n"/>
      <c r="B38" s="27">
        <f>IF($A38="","",TEXT($A38,"YYYY-MM"))</f>
        <v/>
      </c>
      <c r="C38" s="28" t="n"/>
      <c r="D38" s="29" t="n"/>
      <c r="E38" s="17">
        <f>IFERROR(IF($C38="","",INDEX(PRODUCTOS!$E$5:$E$44,MATCH($C38,PRODUCTOS!$B$5:$B$44,0))),"")</f>
        <v/>
      </c>
      <c r="F38" s="17">
        <f>IFERROR(IF($C38="","",$D38*$E38),"")</f>
        <v/>
      </c>
      <c r="G38" s="17">
        <f>IFERROR(IF($C38="","",$F38-$H38),"")</f>
        <v/>
      </c>
      <c r="H38" s="17">
        <f>IFERROR(IF($C38="","",$F38/(1+INICIO!$C$5)),"")</f>
        <v/>
      </c>
      <c r="I38" s="17">
        <f>IFERROR(IF($C38="","",$D38*INDEX(PRODUCTOS!$D$5:$D$44,MATCH($C38,PRODUCTOS!$B$5:$B$44,0))),"")</f>
        <v/>
      </c>
      <c r="J38" s="30">
        <f>IFERROR(IF($C38="","",$H38-$I38),"")</f>
        <v/>
      </c>
      <c r="K38" s="28" t="n"/>
      <c r="L38" s="28" t="n"/>
    </row>
    <row r="39">
      <c r="A39" s="26" t="n"/>
      <c r="B39" s="27">
        <f>IF($A39="","",TEXT($A39,"YYYY-MM"))</f>
        <v/>
      </c>
      <c r="C39" s="28" t="n"/>
      <c r="D39" s="29" t="n"/>
      <c r="E39" s="17">
        <f>IFERROR(IF($C39="","",INDEX(PRODUCTOS!$E$5:$E$44,MATCH($C39,PRODUCTOS!$B$5:$B$44,0))),"")</f>
        <v/>
      </c>
      <c r="F39" s="17">
        <f>IFERROR(IF($C39="","",$D39*$E39),"")</f>
        <v/>
      </c>
      <c r="G39" s="17">
        <f>IFERROR(IF($C39="","",$F39-$H39),"")</f>
        <v/>
      </c>
      <c r="H39" s="17">
        <f>IFERROR(IF($C39="","",$F39/(1+INICIO!$C$5)),"")</f>
        <v/>
      </c>
      <c r="I39" s="17">
        <f>IFERROR(IF($C39="","",$D39*INDEX(PRODUCTOS!$D$5:$D$44,MATCH($C39,PRODUCTOS!$B$5:$B$44,0))),"")</f>
        <v/>
      </c>
      <c r="J39" s="30">
        <f>IFERROR(IF($C39="","",$H39-$I39),"")</f>
        <v/>
      </c>
      <c r="K39" s="28" t="n"/>
      <c r="L39" s="28" t="n"/>
    </row>
    <row r="40">
      <c r="A40" s="26" t="n"/>
      <c r="B40" s="27">
        <f>IF($A40="","",TEXT($A40,"YYYY-MM"))</f>
        <v/>
      </c>
      <c r="C40" s="28" t="n"/>
      <c r="D40" s="29" t="n"/>
      <c r="E40" s="17">
        <f>IFERROR(IF($C40="","",INDEX(PRODUCTOS!$E$5:$E$44,MATCH($C40,PRODUCTOS!$B$5:$B$44,0))),"")</f>
        <v/>
      </c>
      <c r="F40" s="17">
        <f>IFERROR(IF($C40="","",$D40*$E40),"")</f>
        <v/>
      </c>
      <c r="G40" s="17">
        <f>IFERROR(IF($C40="","",$F40-$H40),"")</f>
        <v/>
      </c>
      <c r="H40" s="17">
        <f>IFERROR(IF($C40="","",$F40/(1+INICIO!$C$5)),"")</f>
        <v/>
      </c>
      <c r="I40" s="17">
        <f>IFERROR(IF($C40="","",$D40*INDEX(PRODUCTOS!$D$5:$D$44,MATCH($C40,PRODUCTOS!$B$5:$B$44,0))),"")</f>
        <v/>
      </c>
      <c r="J40" s="30">
        <f>IFERROR(IF($C40="","",$H40-$I40),"")</f>
        <v/>
      </c>
      <c r="K40" s="28" t="n"/>
      <c r="L40" s="28" t="n"/>
    </row>
    <row r="41">
      <c r="A41" s="26" t="n"/>
      <c r="B41" s="27">
        <f>IF($A41="","",TEXT($A41,"YYYY-MM"))</f>
        <v/>
      </c>
      <c r="C41" s="28" t="n"/>
      <c r="D41" s="29" t="n"/>
      <c r="E41" s="17">
        <f>IFERROR(IF($C41="","",INDEX(PRODUCTOS!$E$5:$E$44,MATCH($C41,PRODUCTOS!$B$5:$B$44,0))),"")</f>
        <v/>
      </c>
      <c r="F41" s="17">
        <f>IFERROR(IF($C41="","",$D41*$E41),"")</f>
        <v/>
      </c>
      <c r="G41" s="17">
        <f>IFERROR(IF($C41="","",$F41-$H41),"")</f>
        <v/>
      </c>
      <c r="H41" s="17">
        <f>IFERROR(IF($C41="","",$F41/(1+INICIO!$C$5)),"")</f>
        <v/>
      </c>
      <c r="I41" s="17">
        <f>IFERROR(IF($C41="","",$D41*INDEX(PRODUCTOS!$D$5:$D$44,MATCH($C41,PRODUCTOS!$B$5:$B$44,0))),"")</f>
        <v/>
      </c>
      <c r="J41" s="30">
        <f>IFERROR(IF($C41="","",$H41-$I41),"")</f>
        <v/>
      </c>
      <c r="K41" s="28" t="n"/>
      <c r="L41" s="28" t="n"/>
    </row>
    <row r="42">
      <c r="A42" s="26" t="n"/>
      <c r="B42" s="27">
        <f>IF($A42="","",TEXT($A42,"YYYY-MM"))</f>
        <v/>
      </c>
      <c r="C42" s="28" t="n"/>
      <c r="D42" s="29" t="n"/>
      <c r="E42" s="17">
        <f>IFERROR(IF($C42="","",INDEX(PRODUCTOS!$E$5:$E$44,MATCH($C42,PRODUCTOS!$B$5:$B$44,0))),"")</f>
        <v/>
      </c>
      <c r="F42" s="17">
        <f>IFERROR(IF($C42="","",$D42*$E42),"")</f>
        <v/>
      </c>
      <c r="G42" s="17">
        <f>IFERROR(IF($C42="","",$F42-$H42),"")</f>
        <v/>
      </c>
      <c r="H42" s="17">
        <f>IFERROR(IF($C42="","",$F42/(1+INICIO!$C$5)),"")</f>
        <v/>
      </c>
      <c r="I42" s="17">
        <f>IFERROR(IF($C42="","",$D42*INDEX(PRODUCTOS!$D$5:$D$44,MATCH($C42,PRODUCTOS!$B$5:$B$44,0))),"")</f>
        <v/>
      </c>
      <c r="J42" s="30">
        <f>IFERROR(IF($C42="","",$H42-$I42),"")</f>
        <v/>
      </c>
      <c r="K42" s="28" t="n"/>
      <c r="L42" s="28" t="n"/>
    </row>
    <row r="43">
      <c r="A43" s="26" t="n"/>
      <c r="B43" s="27">
        <f>IF($A43="","",TEXT($A43,"YYYY-MM"))</f>
        <v/>
      </c>
      <c r="C43" s="28" t="n"/>
      <c r="D43" s="29" t="n"/>
      <c r="E43" s="17">
        <f>IFERROR(IF($C43="","",INDEX(PRODUCTOS!$E$5:$E$44,MATCH($C43,PRODUCTOS!$B$5:$B$44,0))),"")</f>
        <v/>
      </c>
      <c r="F43" s="17">
        <f>IFERROR(IF($C43="","",$D43*$E43),"")</f>
        <v/>
      </c>
      <c r="G43" s="17">
        <f>IFERROR(IF($C43="","",$F43-$H43),"")</f>
        <v/>
      </c>
      <c r="H43" s="17">
        <f>IFERROR(IF($C43="","",$F43/(1+INICIO!$C$5)),"")</f>
        <v/>
      </c>
      <c r="I43" s="17">
        <f>IFERROR(IF($C43="","",$D43*INDEX(PRODUCTOS!$D$5:$D$44,MATCH($C43,PRODUCTOS!$B$5:$B$44,0))),"")</f>
        <v/>
      </c>
      <c r="J43" s="30">
        <f>IFERROR(IF($C43="","",$H43-$I43),"")</f>
        <v/>
      </c>
      <c r="K43" s="28" t="n"/>
      <c r="L43" s="28" t="n"/>
    </row>
    <row r="44">
      <c r="A44" s="26" t="n"/>
      <c r="B44" s="27">
        <f>IF($A44="","",TEXT($A44,"YYYY-MM"))</f>
        <v/>
      </c>
      <c r="C44" s="28" t="n"/>
      <c r="D44" s="29" t="n"/>
      <c r="E44" s="17">
        <f>IFERROR(IF($C44="","",INDEX(PRODUCTOS!$E$5:$E$44,MATCH($C44,PRODUCTOS!$B$5:$B$44,0))),"")</f>
        <v/>
      </c>
      <c r="F44" s="17">
        <f>IFERROR(IF($C44="","",$D44*$E44),"")</f>
        <v/>
      </c>
      <c r="G44" s="17">
        <f>IFERROR(IF($C44="","",$F44-$H44),"")</f>
        <v/>
      </c>
      <c r="H44" s="17">
        <f>IFERROR(IF($C44="","",$F44/(1+INICIO!$C$5)),"")</f>
        <v/>
      </c>
      <c r="I44" s="17">
        <f>IFERROR(IF($C44="","",$D44*INDEX(PRODUCTOS!$D$5:$D$44,MATCH($C44,PRODUCTOS!$B$5:$B$44,0))),"")</f>
        <v/>
      </c>
      <c r="J44" s="30">
        <f>IFERROR(IF($C44="","",$H44-$I44),"")</f>
        <v/>
      </c>
      <c r="K44" s="28" t="n"/>
      <c r="L44" s="28" t="n"/>
    </row>
    <row r="45">
      <c r="A45" s="26" t="n"/>
      <c r="B45" s="27">
        <f>IF($A45="","",TEXT($A45,"YYYY-MM"))</f>
        <v/>
      </c>
      <c r="C45" s="28" t="n"/>
      <c r="D45" s="29" t="n"/>
      <c r="E45" s="17">
        <f>IFERROR(IF($C45="","",INDEX(PRODUCTOS!$E$5:$E$44,MATCH($C45,PRODUCTOS!$B$5:$B$44,0))),"")</f>
        <v/>
      </c>
      <c r="F45" s="17">
        <f>IFERROR(IF($C45="","",$D45*$E45),"")</f>
        <v/>
      </c>
      <c r="G45" s="17">
        <f>IFERROR(IF($C45="","",$F45-$H45),"")</f>
        <v/>
      </c>
      <c r="H45" s="17">
        <f>IFERROR(IF($C45="","",$F45/(1+INICIO!$C$5)),"")</f>
        <v/>
      </c>
      <c r="I45" s="17">
        <f>IFERROR(IF($C45="","",$D45*INDEX(PRODUCTOS!$D$5:$D$44,MATCH($C45,PRODUCTOS!$B$5:$B$44,0))),"")</f>
        <v/>
      </c>
      <c r="J45" s="30">
        <f>IFERROR(IF($C45="","",$H45-$I45),"")</f>
        <v/>
      </c>
      <c r="K45" s="28" t="n"/>
      <c r="L45" s="28" t="n"/>
    </row>
    <row r="46">
      <c r="A46" s="26" t="n"/>
      <c r="B46" s="27">
        <f>IF($A46="","",TEXT($A46,"YYYY-MM"))</f>
        <v/>
      </c>
      <c r="C46" s="28" t="n"/>
      <c r="D46" s="29" t="n"/>
      <c r="E46" s="17">
        <f>IFERROR(IF($C46="","",INDEX(PRODUCTOS!$E$5:$E$44,MATCH($C46,PRODUCTOS!$B$5:$B$44,0))),"")</f>
        <v/>
      </c>
      <c r="F46" s="17">
        <f>IFERROR(IF($C46="","",$D46*$E46),"")</f>
        <v/>
      </c>
      <c r="G46" s="17">
        <f>IFERROR(IF($C46="","",$F46-$H46),"")</f>
        <v/>
      </c>
      <c r="H46" s="17">
        <f>IFERROR(IF($C46="","",$F46/(1+INICIO!$C$5)),"")</f>
        <v/>
      </c>
      <c r="I46" s="17">
        <f>IFERROR(IF($C46="","",$D46*INDEX(PRODUCTOS!$D$5:$D$44,MATCH($C46,PRODUCTOS!$B$5:$B$44,0))),"")</f>
        <v/>
      </c>
      <c r="J46" s="30">
        <f>IFERROR(IF($C46="","",$H46-$I46),"")</f>
        <v/>
      </c>
      <c r="K46" s="28" t="n"/>
      <c r="L46" s="28" t="n"/>
    </row>
    <row r="47">
      <c r="A47" s="26" t="n"/>
      <c r="B47" s="27">
        <f>IF($A47="","",TEXT($A47,"YYYY-MM"))</f>
        <v/>
      </c>
      <c r="C47" s="28" t="n"/>
      <c r="D47" s="29" t="n"/>
      <c r="E47" s="17">
        <f>IFERROR(IF($C47="","",INDEX(PRODUCTOS!$E$5:$E$44,MATCH($C47,PRODUCTOS!$B$5:$B$44,0))),"")</f>
        <v/>
      </c>
      <c r="F47" s="17">
        <f>IFERROR(IF($C47="","",$D47*$E47),"")</f>
        <v/>
      </c>
      <c r="G47" s="17">
        <f>IFERROR(IF($C47="","",$F47-$H47),"")</f>
        <v/>
      </c>
      <c r="H47" s="17">
        <f>IFERROR(IF($C47="","",$F47/(1+INICIO!$C$5)),"")</f>
        <v/>
      </c>
      <c r="I47" s="17">
        <f>IFERROR(IF($C47="","",$D47*INDEX(PRODUCTOS!$D$5:$D$44,MATCH($C47,PRODUCTOS!$B$5:$B$44,0))),"")</f>
        <v/>
      </c>
      <c r="J47" s="30">
        <f>IFERROR(IF($C47="","",$H47-$I47),"")</f>
        <v/>
      </c>
      <c r="K47" s="28" t="n"/>
      <c r="L47" s="28" t="n"/>
    </row>
    <row r="48">
      <c r="A48" s="26" t="n"/>
      <c r="B48" s="27">
        <f>IF($A48="","",TEXT($A48,"YYYY-MM"))</f>
        <v/>
      </c>
      <c r="C48" s="28" t="n"/>
      <c r="D48" s="29" t="n"/>
      <c r="E48" s="17">
        <f>IFERROR(IF($C48="","",INDEX(PRODUCTOS!$E$5:$E$44,MATCH($C48,PRODUCTOS!$B$5:$B$44,0))),"")</f>
        <v/>
      </c>
      <c r="F48" s="17">
        <f>IFERROR(IF($C48="","",$D48*$E48),"")</f>
        <v/>
      </c>
      <c r="G48" s="17">
        <f>IFERROR(IF($C48="","",$F48-$H48),"")</f>
        <v/>
      </c>
      <c r="H48" s="17">
        <f>IFERROR(IF($C48="","",$F48/(1+INICIO!$C$5)),"")</f>
        <v/>
      </c>
      <c r="I48" s="17">
        <f>IFERROR(IF($C48="","",$D48*INDEX(PRODUCTOS!$D$5:$D$44,MATCH($C48,PRODUCTOS!$B$5:$B$44,0))),"")</f>
        <v/>
      </c>
      <c r="J48" s="30">
        <f>IFERROR(IF($C48="","",$H48-$I48),"")</f>
        <v/>
      </c>
      <c r="K48" s="28" t="n"/>
      <c r="L48" s="28" t="n"/>
    </row>
    <row r="49">
      <c r="A49" s="26" t="n"/>
      <c r="B49" s="27">
        <f>IF($A49="","",TEXT($A49,"YYYY-MM"))</f>
        <v/>
      </c>
      <c r="C49" s="28" t="n"/>
      <c r="D49" s="29" t="n"/>
      <c r="E49" s="17">
        <f>IFERROR(IF($C49="","",INDEX(PRODUCTOS!$E$5:$E$44,MATCH($C49,PRODUCTOS!$B$5:$B$44,0))),"")</f>
        <v/>
      </c>
      <c r="F49" s="17">
        <f>IFERROR(IF($C49="","",$D49*$E49),"")</f>
        <v/>
      </c>
      <c r="G49" s="17">
        <f>IFERROR(IF($C49="","",$F49-$H49),"")</f>
        <v/>
      </c>
      <c r="H49" s="17">
        <f>IFERROR(IF($C49="","",$F49/(1+INICIO!$C$5)),"")</f>
        <v/>
      </c>
      <c r="I49" s="17">
        <f>IFERROR(IF($C49="","",$D49*INDEX(PRODUCTOS!$D$5:$D$44,MATCH($C49,PRODUCTOS!$B$5:$B$44,0))),"")</f>
        <v/>
      </c>
      <c r="J49" s="30">
        <f>IFERROR(IF($C49="","",$H49-$I49),"")</f>
        <v/>
      </c>
      <c r="K49" s="28" t="n"/>
      <c r="L49" s="28" t="n"/>
    </row>
    <row r="50">
      <c r="A50" s="26" t="n"/>
      <c r="B50" s="27">
        <f>IF($A50="","",TEXT($A50,"YYYY-MM"))</f>
        <v/>
      </c>
      <c r="C50" s="28" t="n"/>
      <c r="D50" s="29" t="n"/>
      <c r="E50" s="17">
        <f>IFERROR(IF($C50="","",INDEX(PRODUCTOS!$E$5:$E$44,MATCH($C50,PRODUCTOS!$B$5:$B$44,0))),"")</f>
        <v/>
      </c>
      <c r="F50" s="17">
        <f>IFERROR(IF($C50="","",$D50*$E50),"")</f>
        <v/>
      </c>
      <c r="G50" s="17">
        <f>IFERROR(IF($C50="","",$F50-$H50),"")</f>
        <v/>
      </c>
      <c r="H50" s="17">
        <f>IFERROR(IF($C50="","",$F50/(1+INICIO!$C$5)),"")</f>
        <v/>
      </c>
      <c r="I50" s="17">
        <f>IFERROR(IF($C50="","",$D50*INDEX(PRODUCTOS!$D$5:$D$44,MATCH($C50,PRODUCTOS!$B$5:$B$44,0))),"")</f>
        <v/>
      </c>
      <c r="J50" s="30">
        <f>IFERROR(IF($C50="","",$H50-$I50),"")</f>
        <v/>
      </c>
      <c r="K50" s="28" t="n"/>
      <c r="L50" s="28" t="n"/>
    </row>
    <row r="51">
      <c r="A51" s="26" t="n"/>
      <c r="B51" s="27">
        <f>IF($A51="","",TEXT($A51,"YYYY-MM"))</f>
        <v/>
      </c>
      <c r="C51" s="28" t="n"/>
      <c r="D51" s="29" t="n"/>
      <c r="E51" s="17">
        <f>IFERROR(IF($C51="","",INDEX(PRODUCTOS!$E$5:$E$44,MATCH($C51,PRODUCTOS!$B$5:$B$44,0))),"")</f>
        <v/>
      </c>
      <c r="F51" s="17">
        <f>IFERROR(IF($C51="","",$D51*$E51),"")</f>
        <v/>
      </c>
      <c r="G51" s="17">
        <f>IFERROR(IF($C51="","",$F51-$H51),"")</f>
        <v/>
      </c>
      <c r="H51" s="17">
        <f>IFERROR(IF($C51="","",$F51/(1+INICIO!$C$5)),"")</f>
        <v/>
      </c>
      <c r="I51" s="17">
        <f>IFERROR(IF($C51="","",$D51*INDEX(PRODUCTOS!$D$5:$D$44,MATCH($C51,PRODUCTOS!$B$5:$B$44,0))),"")</f>
        <v/>
      </c>
      <c r="J51" s="30">
        <f>IFERROR(IF($C51="","",$H51-$I51),"")</f>
        <v/>
      </c>
      <c r="K51" s="28" t="n"/>
      <c r="L51" s="28" t="n"/>
    </row>
    <row r="52">
      <c r="A52" s="26" t="n"/>
      <c r="B52" s="27">
        <f>IF($A52="","",TEXT($A52,"YYYY-MM"))</f>
        <v/>
      </c>
      <c r="C52" s="28" t="n"/>
      <c r="D52" s="29" t="n"/>
      <c r="E52" s="17">
        <f>IFERROR(IF($C52="","",INDEX(PRODUCTOS!$E$5:$E$44,MATCH($C52,PRODUCTOS!$B$5:$B$44,0))),"")</f>
        <v/>
      </c>
      <c r="F52" s="17">
        <f>IFERROR(IF($C52="","",$D52*$E52),"")</f>
        <v/>
      </c>
      <c r="G52" s="17">
        <f>IFERROR(IF($C52="","",$F52-$H52),"")</f>
        <v/>
      </c>
      <c r="H52" s="17">
        <f>IFERROR(IF($C52="","",$F52/(1+INICIO!$C$5)),"")</f>
        <v/>
      </c>
      <c r="I52" s="17">
        <f>IFERROR(IF($C52="","",$D52*INDEX(PRODUCTOS!$D$5:$D$44,MATCH($C52,PRODUCTOS!$B$5:$B$44,0))),"")</f>
        <v/>
      </c>
      <c r="J52" s="30">
        <f>IFERROR(IF($C52="","",$H52-$I52),"")</f>
        <v/>
      </c>
      <c r="K52" s="28" t="n"/>
      <c r="L52" s="28" t="n"/>
    </row>
    <row r="53">
      <c r="A53" s="26" t="n"/>
      <c r="B53" s="27">
        <f>IF($A53="","",TEXT($A53,"YYYY-MM"))</f>
        <v/>
      </c>
      <c r="C53" s="28" t="n"/>
      <c r="D53" s="29" t="n"/>
      <c r="E53" s="17">
        <f>IFERROR(IF($C53="","",INDEX(PRODUCTOS!$E$5:$E$44,MATCH($C53,PRODUCTOS!$B$5:$B$44,0))),"")</f>
        <v/>
      </c>
      <c r="F53" s="17">
        <f>IFERROR(IF($C53="","",$D53*$E53),"")</f>
        <v/>
      </c>
      <c r="G53" s="17">
        <f>IFERROR(IF($C53="","",$F53-$H53),"")</f>
        <v/>
      </c>
      <c r="H53" s="17">
        <f>IFERROR(IF($C53="","",$F53/(1+INICIO!$C$5)),"")</f>
        <v/>
      </c>
      <c r="I53" s="17">
        <f>IFERROR(IF($C53="","",$D53*INDEX(PRODUCTOS!$D$5:$D$44,MATCH($C53,PRODUCTOS!$B$5:$B$44,0))),"")</f>
        <v/>
      </c>
      <c r="J53" s="30">
        <f>IFERROR(IF($C53="","",$H53-$I53),"")</f>
        <v/>
      </c>
      <c r="K53" s="28" t="n"/>
      <c r="L53" s="28" t="n"/>
    </row>
    <row r="54">
      <c r="A54" s="26" t="n"/>
      <c r="B54" s="27">
        <f>IF($A54="","",TEXT($A54,"YYYY-MM"))</f>
        <v/>
      </c>
      <c r="C54" s="28" t="n"/>
      <c r="D54" s="29" t="n"/>
      <c r="E54" s="17">
        <f>IFERROR(IF($C54="","",INDEX(PRODUCTOS!$E$5:$E$44,MATCH($C54,PRODUCTOS!$B$5:$B$44,0))),"")</f>
        <v/>
      </c>
      <c r="F54" s="17">
        <f>IFERROR(IF($C54="","",$D54*$E54),"")</f>
        <v/>
      </c>
      <c r="G54" s="17">
        <f>IFERROR(IF($C54="","",$F54-$H54),"")</f>
        <v/>
      </c>
      <c r="H54" s="17">
        <f>IFERROR(IF($C54="","",$F54/(1+INICIO!$C$5)),"")</f>
        <v/>
      </c>
      <c r="I54" s="17">
        <f>IFERROR(IF($C54="","",$D54*INDEX(PRODUCTOS!$D$5:$D$44,MATCH($C54,PRODUCTOS!$B$5:$B$44,0))),"")</f>
        <v/>
      </c>
      <c r="J54" s="30">
        <f>IFERROR(IF($C54="","",$H54-$I54),"")</f>
        <v/>
      </c>
      <c r="K54" s="28" t="n"/>
      <c r="L54" s="28" t="n"/>
    </row>
    <row r="55">
      <c r="A55" s="26" t="n"/>
      <c r="B55" s="27">
        <f>IF($A55="","",TEXT($A55,"YYYY-MM"))</f>
        <v/>
      </c>
      <c r="C55" s="28" t="n"/>
      <c r="D55" s="29" t="n"/>
      <c r="E55" s="17">
        <f>IFERROR(IF($C55="","",INDEX(PRODUCTOS!$E$5:$E$44,MATCH($C55,PRODUCTOS!$B$5:$B$44,0))),"")</f>
        <v/>
      </c>
      <c r="F55" s="17">
        <f>IFERROR(IF($C55="","",$D55*$E55),"")</f>
        <v/>
      </c>
      <c r="G55" s="17">
        <f>IFERROR(IF($C55="","",$F55-$H55),"")</f>
        <v/>
      </c>
      <c r="H55" s="17">
        <f>IFERROR(IF($C55="","",$F55/(1+INICIO!$C$5)),"")</f>
        <v/>
      </c>
      <c r="I55" s="17">
        <f>IFERROR(IF($C55="","",$D55*INDEX(PRODUCTOS!$D$5:$D$44,MATCH($C55,PRODUCTOS!$B$5:$B$44,0))),"")</f>
        <v/>
      </c>
      <c r="J55" s="30">
        <f>IFERROR(IF($C55="","",$H55-$I55),"")</f>
        <v/>
      </c>
      <c r="K55" s="28" t="n"/>
      <c r="L55" s="28" t="n"/>
    </row>
    <row r="56">
      <c r="A56" s="26" t="n"/>
      <c r="B56" s="27">
        <f>IF($A56="","",TEXT($A56,"YYYY-MM"))</f>
        <v/>
      </c>
      <c r="C56" s="28" t="n"/>
      <c r="D56" s="29" t="n"/>
      <c r="E56" s="17">
        <f>IFERROR(IF($C56="","",INDEX(PRODUCTOS!$E$5:$E$44,MATCH($C56,PRODUCTOS!$B$5:$B$44,0))),"")</f>
        <v/>
      </c>
      <c r="F56" s="17">
        <f>IFERROR(IF($C56="","",$D56*$E56),"")</f>
        <v/>
      </c>
      <c r="G56" s="17">
        <f>IFERROR(IF($C56="","",$F56-$H56),"")</f>
        <v/>
      </c>
      <c r="H56" s="17">
        <f>IFERROR(IF($C56="","",$F56/(1+INICIO!$C$5)),"")</f>
        <v/>
      </c>
      <c r="I56" s="17">
        <f>IFERROR(IF($C56="","",$D56*INDEX(PRODUCTOS!$D$5:$D$44,MATCH($C56,PRODUCTOS!$B$5:$B$44,0))),"")</f>
        <v/>
      </c>
      <c r="J56" s="30">
        <f>IFERROR(IF($C56="","",$H56-$I56),"")</f>
        <v/>
      </c>
      <c r="K56" s="28" t="n"/>
      <c r="L56" s="28" t="n"/>
    </row>
    <row r="57">
      <c r="A57" s="26" t="n"/>
      <c r="B57" s="27">
        <f>IF($A57="","",TEXT($A57,"YYYY-MM"))</f>
        <v/>
      </c>
      <c r="C57" s="28" t="n"/>
      <c r="D57" s="29" t="n"/>
      <c r="E57" s="17">
        <f>IFERROR(IF($C57="","",INDEX(PRODUCTOS!$E$5:$E$44,MATCH($C57,PRODUCTOS!$B$5:$B$44,0))),"")</f>
        <v/>
      </c>
      <c r="F57" s="17">
        <f>IFERROR(IF($C57="","",$D57*$E57),"")</f>
        <v/>
      </c>
      <c r="G57" s="17">
        <f>IFERROR(IF($C57="","",$F57-$H57),"")</f>
        <v/>
      </c>
      <c r="H57" s="17">
        <f>IFERROR(IF($C57="","",$F57/(1+INICIO!$C$5)),"")</f>
        <v/>
      </c>
      <c r="I57" s="17">
        <f>IFERROR(IF($C57="","",$D57*INDEX(PRODUCTOS!$D$5:$D$44,MATCH($C57,PRODUCTOS!$B$5:$B$44,0))),"")</f>
        <v/>
      </c>
      <c r="J57" s="30">
        <f>IFERROR(IF($C57="","",$H57-$I57),"")</f>
        <v/>
      </c>
      <c r="K57" s="28" t="n"/>
      <c r="L57" s="28" t="n"/>
    </row>
    <row r="58">
      <c r="A58" s="26" t="n"/>
      <c r="B58" s="27">
        <f>IF($A58="","",TEXT($A58,"YYYY-MM"))</f>
        <v/>
      </c>
      <c r="C58" s="28" t="n"/>
      <c r="D58" s="29" t="n"/>
      <c r="E58" s="17">
        <f>IFERROR(IF($C58="","",INDEX(PRODUCTOS!$E$5:$E$44,MATCH($C58,PRODUCTOS!$B$5:$B$44,0))),"")</f>
        <v/>
      </c>
      <c r="F58" s="17">
        <f>IFERROR(IF($C58="","",$D58*$E58),"")</f>
        <v/>
      </c>
      <c r="G58" s="17">
        <f>IFERROR(IF($C58="","",$F58-$H58),"")</f>
        <v/>
      </c>
      <c r="H58" s="17">
        <f>IFERROR(IF($C58="","",$F58/(1+INICIO!$C$5)),"")</f>
        <v/>
      </c>
      <c r="I58" s="17">
        <f>IFERROR(IF($C58="","",$D58*INDEX(PRODUCTOS!$D$5:$D$44,MATCH($C58,PRODUCTOS!$B$5:$B$44,0))),"")</f>
        <v/>
      </c>
      <c r="J58" s="30">
        <f>IFERROR(IF($C58="","",$H58-$I58),"")</f>
        <v/>
      </c>
      <c r="K58" s="28" t="n"/>
      <c r="L58" s="28" t="n"/>
    </row>
    <row r="59">
      <c r="A59" s="26" t="n"/>
      <c r="B59" s="27">
        <f>IF($A59="","",TEXT($A59,"YYYY-MM"))</f>
        <v/>
      </c>
      <c r="C59" s="28" t="n"/>
      <c r="D59" s="29" t="n"/>
      <c r="E59" s="17">
        <f>IFERROR(IF($C59="","",INDEX(PRODUCTOS!$E$5:$E$44,MATCH($C59,PRODUCTOS!$B$5:$B$44,0))),"")</f>
        <v/>
      </c>
      <c r="F59" s="17">
        <f>IFERROR(IF($C59="","",$D59*$E59),"")</f>
        <v/>
      </c>
      <c r="G59" s="17">
        <f>IFERROR(IF($C59="","",$F59-$H59),"")</f>
        <v/>
      </c>
      <c r="H59" s="17">
        <f>IFERROR(IF($C59="","",$F59/(1+INICIO!$C$5)),"")</f>
        <v/>
      </c>
      <c r="I59" s="17">
        <f>IFERROR(IF($C59="","",$D59*INDEX(PRODUCTOS!$D$5:$D$44,MATCH($C59,PRODUCTOS!$B$5:$B$44,0))),"")</f>
        <v/>
      </c>
      <c r="J59" s="30">
        <f>IFERROR(IF($C59="","",$H59-$I59),"")</f>
        <v/>
      </c>
      <c r="K59" s="28" t="n"/>
      <c r="L59" s="28" t="n"/>
    </row>
    <row r="60">
      <c r="A60" s="26" t="n"/>
      <c r="B60" s="27">
        <f>IF($A60="","",TEXT($A60,"YYYY-MM"))</f>
        <v/>
      </c>
      <c r="C60" s="28" t="n"/>
      <c r="D60" s="29" t="n"/>
      <c r="E60" s="17">
        <f>IFERROR(IF($C60="","",INDEX(PRODUCTOS!$E$5:$E$44,MATCH($C60,PRODUCTOS!$B$5:$B$44,0))),"")</f>
        <v/>
      </c>
      <c r="F60" s="17">
        <f>IFERROR(IF($C60="","",$D60*$E60),"")</f>
        <v/>
      </c>
      <c r="G60" s="17">
        <f>IFERROR(IF($C60="","",$F60-$H60),"")</f>
        <v/>
      </c>
      <c r="H60" s="17">
        <f>IFERROR(IF($C60="","",$F60/(1+INICIO!$C$5)),"")</f>
        <v/>
      </c>
      <c r="I60" s="17">
        <f>IFERROR(IF($C60="","",$D60*INDEX(PRODUCTOS!$D$5:$D$44,MATCH($C60,PRODUCTOS!$B$5:$B$44,0))),"")</f>
        <v/>
      </c>
      <c r="J60" s="30">
        <f>IFERROR(IF($C60="","",$H60-$I60),"")</f>
        <v/>
      </c>
      <c r="K60" s="28" t="n"/>
      <c r="L60" s="28" t="n"/>
    </row>
    <row r="61">
      <c r="A61" s="26" t="n"/>
      <c r="B61" s="27">
        <f>IF($A61="","",TEXT($A61,"YYYY-MM"))</f>
        <v/>
      </c>
      <c r="C61" s="28" t="n"/>
      <c r="D61" s="29" t="n"/>
      <c r="E61" s="17">
        <f>IFERROR(IF($C61="","",INDEX(PRODUCTOS!$E$5:$E$44,MATCH($C61,PRODUCTOS!$B$5:$B$44,0))),"")</f>
        <v/>
      </c>
      <c r="F61" s="17">
        <f>IFERROR(IF($C61="","",$D61*$E61),"")</f>
        <v/>
      </c>
      <c r="G61" s="17">
        <f>IFERROR(IF($C61="","",$F61-$H61),"")</f>
        <v/>
      </c>
      <c r="H61" s="17">
        <f>IFERROR(IF($C61="","",$F61/(1+INICIO!$C$5)),"")</f>
        <v/>
      </c>
      <c r="I61" s="17">
        <f>IFERROR(IF($C61="","",$D61*INDEX(PRODUCTOS!$D$5:$D$44,MATCH($C61,PRODUCTOS!$B$5:$B$44,0))),"")</f>
        <v/>
      </c>
      <c r="J61" s="30">
        <f>IFERROR(IF($C61="","",$H61-$I61),"")</f>
        <v/>
      </c>
      <c r="K61" s="28" t="n"/>
      <c r="L61" s="28" t="n"/>
    </row>
    <row r="62">
      <c r="A62" s="26" t="n"/>
      <c r="B62" s="27">
        <f>IF($A62="","",TEXT($A62,"YYYY-MM"))</f>
        <v/>
      </c>
      <c r="C62" s="28" t="n"/>
      <c r="D62" s="29" t="n"/>
      <c r="E62" s="17">
        <f>IFERROR(IF($C62="","",INDEX(PRODUCTOS!$E$5:$E$44,MATCH($C62,PRODUCTOS!$B$5:$B$44,0))),"")</f>
        <v/>
      </c>
      <c r="F62" s="17">
        <f>IFERROR(IF($C62="","",$D62*$E62),"")</f>
        <v/>
      </c>
      <c r="G62" s="17">
        <f>IFERROR(IF($C62="","",$F62-$H62),"")</f>
        <v/>
      </c>
      <c r="H62" s="17">
        <f>IFERROR(IF($C62="","",$F62/(1+INICIO!$C$5)),"")</f>
        <v/>
      </c>
      <c r="I62" s="17">
        <f>IFERROR(IF($C62="","",$D62*INDEX(PRODUCTOS!$D$5:$D$44,MATCH($C62,PRODUCTOS!$B$5:$B$44,0))),"")</f>
        <v/>
      </c>
      <c r="J62" s="30">
        <f>IFERROR(IF($C62="","",$H62-$I62),"")</f>
        <v/>
      </c>
      <c r="K62" s="28" t="n"/>
      <c r="L62" s="28" t="n"/>
    </row>
    <row r="63">
      <c r="A63" s="26" t="n"/>
      <c r="B63" s="27">
        <f>IF($A63="","",TEXT($A63,"YYYY-MM"))</f>
        <v/>
      </c>
      <c r="C63" s="28" t="n"/>
      <c r="D63" s="29" t="n"/>
      <c r="E63" s="17">
        <f>IFERROR(IF($C63="","",INDEX(PRODUCTOS!$E$5:$E$44,MATCH($C63,PRODUCTOS!$B$5:$B$44,0))),"")</f>
        <v/>
      </c>
      <c r="F63" s="17">
        <f>IFERROR(IF($C63="","",$D63*$E63),"")</f>
        <v/>
      </c>
      <c r="G63" s="17">
        <f>IFERROR(IF($C63="","",$F63-$H63),"")</f>
        <v/>
      </c>
      <c r="H63" s="17">
        <f>IFERROR(IF($C63="","",$F63/(1+INICIO!$C$5)),"")</f>
        <v/>
      </c>
      <c r="I63" s="17">
        <f>IFERROR(IF($C63="","",$D63*INDEX(PRODUCTOS!$D$5:$D$44,MATCH($C63,PRODUCTOS!$B$5:$B$44,0))),"")</f>
        <v/>
      </c>
      <c r="J63" s="30">
        <f>IFERROR(IF($C63="","",$H63-$I63),"")</f>
        <v/>
      </c>
      <c r="K63" s="28" t="n"/>
      <c r="L63" s="28" t="n"/>
    </row>
    <row r="64">
      <c r="A64" s="26" t="n"/>
      <c r="B64" s="27">
        <f>IF($A64="","",TEXT($A64,"YYYY-MM"))</f>
        <v/>
      </c>
      <c r="C64" s="28" t="n"/>
      <c r="D64" s="29" t="n"/>
      <c r="E64" s="17">
        <f>IFERROR(IF($C64="","",INDEX(PRODUCTOS!$E$5:$E$44,MATCH($C64,PRODUCTOS!$B$5:$B$44,0))),"")</f>
        <v/>
      </c>
      <c r="F64" s="17">
        <f>IFERROR(IF($C64="","",$D64*$E64),"")</f>
        <v/>
      </c>
      <c r="G64" s="17">
        <f>IFERROR(IF($C64="","",$F64-$H64),"")</f>
        <v/>
      </c>
      <c r="H64" s="17">
        <f>IFERROR(IF($C64="","",$F64/(1+INICIO!$C$5)),"")</f>
        <v/>
      </c>
      <c r="I64" s="17">
        <f>IFERROR(IF($C64="","",$D64*INDEX(PRODUCTOS!$D$5:$D$44,MATCH($C64,PRODUCTOS!$B$5:$B$44,0))),"")</f>
        <v/>
      </c>
      <c r="J64" s="30">
        <f>IFERROR(IF($C64="","",$H64-$I64),"")</f>
        <v/>
      </c>
      <c r="K64" s="28" t="n"/>
      <c r="L64" s="28" t="n"/>
    </row>
    <row r="65">
      <c r="A65" s="26" t="n"/>
      <c r="B65" s="27">
        <f>IF($A65="","",TEXT($A65,"YYYY-MM"))</f>
        <v/>
      </c>
      <c r="C65" s="28" t="n"/>
      <c r="D65" s="29" t="n"/>
      <c r="E65" s="17">
        <f>IFERROR(IF($C65="","",INDEX(PRODUCTOS!$E$5:$E$44,MATCH($C65,PRODUCTOS!$B$5:$B$44,0))),"")</f>
        <v/>
      </c>
      <c r="F65" s="17">
        <f>IFERROR(IF($C65="","",$D65*$E65),"")</f>
        <v/>
      </c>
      <c r="G65" s="17">
        <f>IFERROR(IF($C65="","",$F65-$H65),"")</f>
        <v/>
      </c>
      <c r="H65" s="17">
        <f>IFERROR(IF($C65="","",$F65/(1+INICIO!$C$5)),"")</f>
        <v/>
      </c>
      <c r="I65" s="17">
        <f>IFERROR(IF($C65="","",$D65*INDEX(PRODUCTOS!$D$5:$D$44,MATCH($C65,PRODUCTOS!$B$5:$B$44,0))),"")</f>
        <v/>
      </c>
      <c r="J65" s="30">
        <f>IFERROR(IF($C65="","",$H65-$I65),"")</f>
        <v/>
      </c>
      <c r="K65" s="28" t="n"/>
      <c r="L65" s="28" t="n"/>
    </row>
    <row r="66">
      <c r="A66" s="26" t="n"/>
      <c r="B66" s="27">
        <f>IF($A66="","",TEXT($A66,"YYYY-MM"))</f>
        <v/>
      </c>
      <c r="C66" s="28" t="n"/>
      <c r="D66" s="29" t="n"/>
      <c r="E66" s="17">
        <f>IFERROR(IF($C66="","",INDEX(PRODUCTOS!$E$5:$E$44,MATCH($C66,PRODUCTOS!$B$5:$B$44,0))),"")</f>
        <v/>
      </c>
      <c r="F66" s="17">
        <f>IFERROR(IF($C66="","",$D66*$E66),"")</f>
        <v/>
      </c>
      <c r="G66" s="17">
        <f>IFERROR(IF($C66="","",$F66-$H66),"")</f>
        <v/>
      </c>
      <c r="H66" s="17">
        <f>IFERROR(IF($C66="","",$F66/(1+INICIO!$C$5)),"")</f>
        <v/>
      </c>
      <c r="I66" s="17">
        <f>IFERROR(IF($C66="","",$D66*INDEX(PRODUCTOS!$D$5:$D$44,MATCH($C66,PRODUCTOS!$B$5:$B$44,0))),"")</f>
        <v/>
      </c>
      <c r="J66" s="30">
        <f>IFERROR(IF($C66="","",$H66-$I66),"")</f>
        <v/>
      </c>
      <c r="K66" s="28" t="n"/>
      <c r="L66" s="28" t="n"/>
    </row>
    <row r="67">
      <c r="A67" s="26" t="n"/>
      <c r="B67" s="27">
        <f>IF($A67="","",TEXT($A67,"YYYY-MM"))</f>
        <v/>
      </c>
      <c r="C67" s="28" t="n"/>
      <c r="D67" s="29" t="n"/>
      <c r="E67" s="17">
        <f>IFERROR(IF($C67="","",INDEX(PRODUCTOS!$E$5:$E$44,MATCH($C67,PRODUCTOS!$B$5:$B$44,0))),"")</f>
        <v/>
      </c>
      <c r="F67" s="17">
        <f>IFERROR(IF($C67="","",$D67*$E67),"")</f>
        <v/>
      </c>
      <c r="G67" s="17">
        <f>IFERROR(IF($C67="","",$F67-$H67),"")</f>
        <v/>
      </c>
      <c r="H67" s="17">
        <f>IFERROR(IF($C67="","",$F67/(1+INICIO!$C$5)),"")</f>
        <v/>
      </c>
      <c r="I67" s="17">
        <f>IFERROR(IF($C67="","",$D67*INDEX(PRODUCTOS!$D$5:$D$44,MATCH($C67,PRODUCTOS!$B$5:$B$44,0))),"")</f>
        <v/>
      </c>
      <c r="J67" s="30">
        <f>IFERROR(IF($C67="","",$H67-$I67),"")</f>
        <v/>
      </c>
      <c r="K67" s="28" t="n"/>
      <c r="L67" s="28" t="n"/>
    </row>
    <row r="68">
      <c r="A68" s="26" t="n"/>
      <c r="B68" s="27">
        <f>IF($A68="","",TEXT($A68,"YYYY-MM"))</f>
        <v/>
      </c>
      <c r="C68" s="28" t="n"/>
      <c r="D68" s="29" t="n"/>
      <c r="E68" s="17">
        <f>IFERROR(IF($C68="","",INDEX(PRODUCTOS!$E$5:$E$44,MATCH($C68,PRODUCTOS!$B$5:$B$44,0))),"")</f>
        <v/>
      </c>
      <c r="F68" s="17">
        <f>IFERROR(IF($C68="","",$D68*$E68),"")</f>
        <v/>
      </c>
      <c r="G68" s="17">
        <f>IFERROR(IF($C68="","",$F68-$H68),"")</f>
        <v/>
      </c>
      <c r="H68" s="17">
        <f>IFERROR(IF($C68="","",$F68/(1+INICIO!$C$5)),"")</f>
        <v/>
      </c>
      <c r="I68" s="17">
        <f>IFERROR(IF($C68="","",$D68*INDEX(PRODUCTOS!$D$5:$D$44,MATCH($C68,PRODUCTOS!$B$5:$B$44,0))),"")</f>
        <v/>
      </c>
      <c r="J68" s="30">
        <f>IFERROR(IF($C68="","",$H68-$I68),"")</f>
        <v/>
      </c>
      <c r="K68" s="28" t="n"/>
      <c r="L68" s="28" t="n"/>
    </row>
    <row r="69">
      <c r="A69" s="26" t="n"/>
      <c r="B69" s="27">
        <f>IF($A69="","",TEXT($A69,"YYYY-MM"))</f>
        <v/>
      </c>
      <c r="C69" s="28" t="n"/>
      <c r="D69" s="29" t="n"/>
      <c r="E69" s="17">
        <f>IFERROR(IF($C69="","",INDEX(PRODUCTOS!$E$5:$E$44,MATCH($C69,PRODUCTOS!$B$5:$B$44,0))),"")</f>
        <v/>
      </c>
      <c r="F69" s="17">
        <f>IFERROR(IF($C69="","",$D69*$E69),"")</f>
        <v/>
      </c>
      <c r="G69" s="17">
        <f>IFERROR(IF($C69="","",$F69-$H69),"")</f>
        <v/>
      </c>
      <c r="H69" s="17">
        <f>IFERROR(IF($C69="","",$F69/(1+INICIO!$C$5)),"")</f>
        <v/>
      </c>
      <c r="I69" s="17">
        <f>IFERROR(IF($C69="","",$D69*INDEX(PRODUCTOS!$D$5:$D$44,MATCH($C69,PRODUCTOS!$B$5:$B$44,0))),"")</f>
        <v/>
      </c>
      <c r="J69" s="30">
        <f>IFERROR(IF($C69="","",$H69-$I69),"")</f>
        <v/>
      </c>
      <c r="K69" s="28" t="n"/>
      <c r="L69" s="28" t="n"/>
    </row>
    <row r="70">
      <c r="A70" s="26" t="n"/>
      <c r="B70" s="27">
        <f>IF($A70="","",TEXT($A70,"YYYY-MM"))</f>
        <v/>
      </c>
      <c r="C70" s="28" t="n"/>
      <c r="D70" s="29" t="n"/>
      <c r="E70" s="17">
        <f>IFERROR(IF($C70="","",INDEX(PRODUCTOS!$E$5:$E$44,MATCH($C70,PRODUCTOS!$B$5:$B$44,0))),"")</f>
        <v/>
      </c>
      <c r="F70" s="17">
        <f>IFERROR(IF($C70="","",$D70*$E70),"")</f>
        <v/>
      </c>
      <c r="G70" s="17">
        <f>IFERROR(IF($C70="","",$F70-$H70),"")</f>
        <v/>
      </c>
      <c r="H70" s="17">
        <f>IFERROR(IF($C70="","",$F70/(1+INICIO!$C$5)),"")</f>
        <v/>
      </c>
      <c r="I70" s="17">
        <f>IFERROR(IF($C70="","",$D70*INDEX(PRODUCTOS!$D$5:$D$44,MATCH($C70,PRODUCTOS!$B$5:$B$44,0))),"")</f>
        <v/>
      </c>
      <c r="J70" s="30">
        <f>IFERROR(IF($C70="","",$H70-$I70),"")</f>
        <v/>
      </c>
      <c r="K70" s="28" t="n"/>
      <c r="L70" s="28" t="n"/>
    </row>
    <row r="71">
      <c r="A71" s="26" t="n"/>
      <c r="B71" s="27">
        <f>IF($A71="","",TEXT($A71,"YYYY-MM"))</f>
        <v/>
      </c>
      <c r="C71" s="28" t="n"/>
      <c r="D71" s="29" t="n"/>
      <c r="E71" s="17">
        <f>IFERROR(IF($C71="","",INDEX(PRODUCTOS!$E$5:$E$44,MATCH($C71,PRODUCTOS!$B$5:$B$44,0))),"")</f>
        <v/>
      </c>
      <c r="F71" s="17">
        <f>IFERROR(IF($C71="","",$D71*$E71),"")</f>
        <v/>
      </c>
      <c r="G71" s="17">
        <f>IFERROR(IF($C71="","",$F71-$H71),"")</f>
        <v/>
      </c>
      <c r="H71" s="17">
        <f>IFERROR(IF($C71="","",$F71/(1+INICIO!$C$5)),"")</f>
        <v/>
      </c>
      <c r="I71" s="17">
        <f>IFERROR(IF($C71="","",$D71*INDEX(PRODUCTOS!$D$5:$D$44,MATCH($C71,PRODUCTOS!$B$5:$B$44,0))),"")</f>
        <v/>
      </c>
      <c r="J71" s="30">
        <f>IFERROR(IF($C71="","",$H71-$I71),"")</f>
        <v/>
      </c>
      <c r="K71" s="28" t="n"/>
      <c r="L71" s="28" t="n"/>
    </row>
    <row r="72">
      <c r="A72" s="26" t="n"/>
      <c r="B72" s="27">
        <f>IF($A72="","",TEXT($A72,"YYYY-MM"))</f>
        <v/>
      </c>
      <c r="C72" s="28" t="n"/>
      <c r="D72" s="29" t="n"/>
      <c r="E72" s="17">
        <f>IFERROR(IF($C72="","",INDEX(PRODUCTOS!$E$5:$E$44,MATCH($C72,PRODUCTOS!$B$5:$B$44,0))),"")</f>
        <v/>
      </c>
      <c r="F72" s="17">
        <f>IFERROR(IF($C72="","",$D72*$E72),"")</f>
        <v/>
      </c>
      <c r="G72" s="17">
        <f>IFERROR(IF($C72="","",$F72-$H72),"")</f>
        <v/>
      </c>
      <c r="H72" s="17">
        <f>IFERROR(IF($C72="","",$F72/(1+INICIO!$C$5)),"")</f>
        <v/>
      </c>
      <c r="I72" s="17">
        <f>IFERROR(IF($C72="","",$D72*INDEX(PRODUCTOS!$D$5:$D$44,MATCH($C72,PRODUCTOS!$B$5:$B$44,0))),"")</f>
        <v/>
      </c>
      <c r="J72" s="30">
        <f>IFERROR(IF($C72="","",$H72-$I72),"")</f>
        <v/>
      </c>
      <c r="K72" s="28" t="n"/>
      <c r="L72" s="28" t="n"/>
    </row>
    <row r="73">
      <c r="A73" s="26" t="n"/>
      <c r="B73" s="27">
        <f>IF($A73="","",TEXT($A73,"YYYY-MM"))</f>
        <v/>
      </c>
      <c r="C73" s="28" t="n"/>
      <c r="D73" s="29" t="n"/>
      <c r="E73" s="17">
        <f>IFERROR(IF($C73="","",INDEX(PRODUCTOS!$E$5:$E$44,MATCH($C73,PRODUCTOS!$B$5:$B$44,0))),"")</f>
        <v/>
      </c>
      <c r="F73" s="17">
        <f>IFERROR(IF($C73="","",$D73*$E73),"")</f>
        <v/>
      </c>
      <c r="G73" s="17">
        <f>IFERROR(IF($C73="","",$F73-$H73),"")</f>
        <v/>
      </c>
      <c r="H73" s="17">
        <f>IFERROR(IF($C73="","",$F73/(1+INICIO!$C$5)),"")</f>
        <v/>
      </c>
      <c r="I73" s="17">
        <f>IFERROR(IF($C73="","",$D73*INDEX(PRODUCTOS!$D$5:$D$44,MATCH($C73,PRODUCTOS!$B$5:$B$44,0))),"")</f>
        <v/>
      </c>
      <c r="J73" s="30">
        <f>IFERROR(IF($C73="","",$H73-$I73),"")</f>
        <v/>
      </c>
      <c r="K73" s="28" t="n"/>
      <c r="L73" s="28" t="n"/>
    </row>
    <row r="74">
      <c r="A74" s="26" t="n"/>
      <c r="B74" s="27">
        <f>IF($A74="","",TEXT($A74,"YYYY-MM"))</f>
        <v/>
      </c>
      <c r="C74" s="28" t="n"/>
      <c r="D74" s="29" t="n"/>
      <c r="E74" s="17">
        <f>IFERROR(IF($C74="","",INDEX(PRODUCTOS!$E$5:$E$44,MATCH($C74,PRODUCTOS!$B$5:$B$44,0))),"")</f>
        <v/>
      </c>
      <c r="F74" s="17">
        <f>IFERROR(IF($C74="","",$D74*$E74),"")</f>
        <v/>
      </c>
      <c r="G74" s="17">
        <f>IFERROR(IF($C74="","",$F74-$H74),"")</f>
        <v/>
      </c>
      <c r="H74" s="17">
        <f>IFERROR(IF($C74="","",$F74/(1+INICIO!$C$5)),"")</f>
        <v/>
      </c>
      <c r="I74" s="17">
        <f>IFERROR(IF($C74="","",$D74*INDEX(PRODUCTOS!$D$5:$D$44,MATCH($C74,PRODUCTOS!$B$5:$B$44,0))),"")</f>
        <v/>
      </c>
      <c r="J74" s="30">
        <f>IFERROR(IF($C74="","",$H74-$I74),"")</f>
        <v/>
      </c>
      <c r="K74" s="28" t="n"/>
      <c r="L74" s="28" t="n"/>
    </row>
    <row r="75">
      <c r="A75" s="26" t="n"/>
      <c r="B75" s="27">
        <f>IF($A75="","",TEXT($A75,"YYYY-MM"))</f>
        <v/>
      </c>
      <c r="C75" s="28" t="n"/>
      <c r="D75" s="29" t="n"/>
      <c r="E75" s="17">
        <f>IFERROR(IF($C75="","",INDEX(PRODUCTOS!$E$5:$E$44,MATCH($C75,PRODUCTOS!$B$5:$B$44,0))),"")</f>
        <v/>
      </c>
      <c r="F75" s="17">
        <f>IFERROR(IF($C75="","",$D75*$E75),"")</f>
        <v/>
      </c>
      <c r="G75" s="17">
        <f>IFERROR(IF($C75="","",$F75-$H75),"")</f>
        <v/>
      </c>
      <c r="H75" s="17">
        <f>IFERROR(IF($C75="","",$F75/(1+INICIO!$C$5)),"")</f>
        <v/>
      </c>
      <c r="I75" s="17">
        <f>IFERROR(IF($C75="","",$D75*INDEX(PRODUCTOS!$D$5:$D$44,MATCH($C75,PRODUCTOS!$B$5:$B$44,0))),"")</f>
        <v/>
      </c>
      <c r="J75" s="30">
        <f>IFERROR(IF($C75="","",$H75-$I75),"")</f>
        <v/>
      </c>
      <c r="K75" s="28" t="n"/>
      <c r="L75" s="28" t="n"/>
    </row>
    <row r="76">
      <c r="A76" s="26" t="n"/>
      <c r="B76" s="27">
        <f>IF($A76="","",TEXT($A76,"YYYY-MM"))</f>
        <v/>
      </c>
      <c r="C76" s="28" t="n"/>
      <c r="D76" s="29" t="n"/>
      <c r="E76" s="17">
        <f>IFERROR(IF($C76="","",INDEX(PRODUCTOS!$E$5:$E$44,MATCH($C76,PRODUCTOS!$B$5:$B$44,0))),"")</f>
        <v/>
      </c>
      <c r="F76" s="17">
        <f>IFERROR(IF($C76="","",$D76*$E76),"")</f>
        <v/>
      </c>
      <c r="G76" s="17">
        <f>IFERROR(IF($C76="","",$F76-$H76),"")</f>
        <v/>
      </c>
      <c r="H76" s="17">
        <f>IFERROR(IF($C76="","",$F76/(1+INICIO!$C$5)),"")</f>
        <v/>
      </c>
      <c r="I76" s="17">
        <f>IFERROR(IF($C76="","",$D76*INDEX(PRODUCTOS!$D$5:$D$44,MATCH($C76,PRODUCTOS!$B$5:$B$44,0))),"")</f>
        <v/>
      </c>
      <c r="J76" s="30">
        <f>IFERROR(IF($C76="","",$H76-$I76),"")</f>
        <v/>
      </c>
      <c r="K76" s="28" t="n"/>
      <c r="L76" s="28" t="n"/>
    </row>
    <row r="77">
      <c r="A77" s="26" t="n"/>
      <c r="B77" s="27">
        <f>IF($A77="","",TEXT($A77,"YYYY-MM"))</f>
        <v/>
      </c>
      <c r="C77" s="28" t="n"/>
      <c r="D77" s="29" t="n"/>
      <c r="E77" s="17">
        <f>IFERROR(IF($C77="","",INDEX(PRODUCTOS!$E$5:$E$44,MATCH($C77,PRODUCTOS!$B$5:$B$44,0))),"")</f>
        <v/>
      </c>
      <c r="F77" s="17">
        <f>IFERROR(IF($C77="","",$D77*$E77),"")</f>
        <v/>
      </c>
      <c r="G77" s="17">
        <f>IFERROR(IF($C77="","",$F77-$H77),"")</f>
        <v/>
      </c>
      <c r="H77" s="17">
        <f>IFERROR(IF($C77="","",$F77/(1+INICIO!$C$5)),"")</f>
        <v/>
      </c>
      <c r="I77" s="17">
        <f>IFERROR(IF($C77="","",$D77*INDEX(PRODUCTOS!$D$5:$D$44,MATCH($C77,PRODUCTOS!$B$5:$B$44,0))),"")</f>
        <v/>
      </c>
      <c r="J77" s="30">
        <f>IFERROR(IF($C77="","",$H77-$I77),"")</f>
        <v/>
      </c>
      <c r="K77" s="28" t="n"/>
      <c r="L77" s="28" t="n"/>
    </row>
    <row r="78">
      <c r="A78" s="26" t="n"/>
      <c r="B78" s="27">
        <f>IF($A78="","",TEXT($A78,"YYYY-MM"))</f>
        <v/>
      </c>
      <c r="C78" s="28" t="n"/>
      <c r="D78" s="29" t="n"/>
      <c r="E78" s="17">
        <f>IFERROR(IF($C78="","",INDEX(PRODUCTOS!$E$5:$E$44,MATCH($C78,PRODUCTOS!$B$5:$B$44,0))),"")</f>
        <v/>
      </c>
      <c r="F78" s="17">
        <f>IFERROR(IF($C78="","",$D78*$E78),"")</f>
        <v/>
      </c>
      <c r="G78" s="17">
        <f>IFERROR(IF($C78="","",$F78-$H78),"")</f>
        <v/>
      </c>
      <c r="H78" s="17">
        <f>IFERROR(IF($C78="","",$F78/(1+INICIO!$C$5)),"")</f>
        <v/>
      </c>
      <c r="I78" s="17">
        <f>IFERROR(IF($C78="","",$D78*INDEX(PRODUCTOS!$D$5:$D$44,MATCH($C78,PRODUCTOS!$B$5:$B$44,0))),"")</f>
        <v/>
      </c>
      <c r="J78" s="30">
        <f>IFERROR(IF($C78="","",$H78-$I78),"")</f>
        <v/>
      </c>
      <c r="K78" s="28" t="n"/>
      <c r="L78" s="28" t="n"/>
    </row>
    <row r="79">
      <c r="A79" s="26" t="n"/>
      <c r="B79" s="27">
        <f>IF($A79="","",TEXT($A79,"YYYY-MM"))</f>
        <v/>
      </c>
      <c r="C79" s="28" t="n"/>
      <c r="D79" s="29" t="n"/>
      <c r="E79" s="17">
        <f>IFERROR(IF($C79="","",INDEX(PRODUCTOS!$E$5:$E$44,MATCH($C79,PRODUCTOS!$B$5:$B$44,0))),"")</f>
        <v/>
      </c>
      <c r="F79" s="17">
        <f>IFERROR(IF($C79="","",$D79*$E79),"")</f>
        <v/>
      </c>
      <c r="G79" s="17">
        <f>IFERROR(IF($C79="","",$F79-$H79),"")</f>
        <v/>
      </c>
      <c r="H79" s="17">
        <f>IFERROR(IF($C79="","",$F79/(1+INICIO!$C$5)),"")</f>
        <v/>
      </c>
      <c r="I79" s="17">
        <f>IFERROR(IF($C79="","",$D79*INDEX(PRODUCTOS!$D$5:$D$44,MATCH($C79,PRODUCTOS!$B$5:$B$44,0))),"")</f>
        <v/>
      </c>
      <c r="J79" s="30">
        <f>IFERROR(IF($C79="","",$H79-$I79),"")</f>
        <v/>
      </c>
      <c r="K79" s="28" t="n"/>
      <c r="L79" s="28" t="n"/>
    </row>
    <row r="80">
      <c r="A80" s="26" t="n"/>
      <c r="B80" s="27">
        <f>IF($A80="","",TEXT($A80,"YYYY-MM"))</f>
        <v/>
      </c>
      <c r="C80" s="28" t="n"/>
      <c r="D80" s="29" t="n"/>
      <c r="E80" s="17">
        <f>IFERROR(IF($C80="","",INDEX(PRODUCTOS!$E$5:$E$44,MATCH($C80,PRODUCTOS!$B$5:$B$44,0))),"")</f>
        <v/>
      </c>
      <c r="F80" s="17">
        <f>IFERROR(IF($C80="","",$D80*$E80),"")</f>
        <v/>
      </c>
      <c r="G80" s="17">
        <f>IFERROR(IF($C80="","",$F80-$H80),"")</f>
        <v/>
      </c>
      <c r="H80" s="17">
        <f>IFERROR(IF($C80="","",$F80/(1+INICIO!$C$5)),"")</f>
        <v/>
      </c>
      <c r="I80" s="17">
        <f>IFERROR(IF($C80="","",$D80*INDEX(PRODUCTOS!$D$5:$D$44,MATCH($C80,PRODUCTOS!$B$5:$B$44,0))),"")</f>
        <v/>
      </c>
      <c r="J80" s="30">
        <f>IFERROR(IF($C80="","",$H80-$I80),"")</f>
        <v/>
      </c>
      <c r="K80" s="28" t="n"/>
      <c r="L80" s="28" t="n"/>
    </row>
    <row r="81">
      <c r="A81" s="26" t="n"/>
      <c r="B81" s="27">
        <f>IF($A81="","",TEXT($A81,"YYYY-MM"))</f>
        <v/>
      </c>
      <c r="C81" s="28" t="n"/>
      <c r="D81" s="29" t="n"/>
      <c r="E81" s="17">
        <f>IFERROR(IF($C81="","",INDEX(PRODUCTOS!$E$5:$E$44,MATCH($C81,PRODUCTOS!$B$5:$B$44,0))),"")</f>
        <v/>
      </c>
      <c r="F81" s="17">
        <f>IFERROR(IF($C81="","",$D81*$E81),"")</f>
        <v/>
      </c>
      <c r="G81" s="17">
        <f>IFERROR(IF($C81="","",$F81-$H81),"")</f>
        <v/>
      </c>
      <c r="H81" s="17">
        <f>IFERROR(IF($C81="","",$F81/(1+INICIO!$C$5)),"")</f>
        <v/>
      </c>
      <c r="I81" s="17">
        <f>IFERROR(IF($C81="","",$D81*INDEX(PRODUCTOS!$D$5:$D$44,MATCH($C81,PRODUCTOS!$B$5:$B$44,0))),"")</f>
        <v/>
      </c>
      <c r="J81" s="30">
        <f>IFERROR(IF($C81="","",$H81-$I81),"")</f>
        <v/>
      </c>
      <c r="K81" s="28" t="n"/>
      <c r="L81" s="28" t="n"/>
    </row>
    <row r="82">
      <c r="A82" s="26" t="n"/>
      <c r="B82" s="27">
        <f>IF($A82="","",TEXT($A82,"YYYY-MM"))</f>
        <v/>
      </c>
      <c r="C82" s="28" t="n"/>
      <c r="D82" s="29" t="n"/>
      <c r="E82" s="17">
        <f>IFERROR(IF($C82="","",INDEX(PRODUCTOS!$E$5:$E$44,MATCH($C82,PRODUCTOS!$B$5:$B$44,0))),"")</f>
        <v/>
      </c>
      <c r="F82" s="17">
        <f>IFERROR(IF($C82="","",$D82*$E82),"")</f>
        <v/>
      </c>
      <c r="G82" s="17">
        <f>IFERROR(IF($C82="","",$F82-$H82),"")</f>
        <v/>
      </c>
      <c r="H82" s="17">
        <f>IFERROR(IF($C82="","",$F82/(1+INICIO!$C$5)),"")</f>
        <v/>
      </c>
      <c r="I82" s="17">
        <f>IFERROR(IF($C82="","",$D82*INDEX(PRODUCTOS!$D$5:$D$44,MATCH($C82,PRODUCTOS!$B$5:$B$44,0))),"")</f>
        <v/>
      </c>
      <c r="J82" s="30">
        <f>IFERROR(IF($C82="","",$H82-$I82),"")</f>
        <v/>
      </c>
      <c r="K82" s="28" t="n"/>
      <c r="L82" s="28" t="n"/>
    </row>
    <row r="83">
      <c r="A83" s="26" t="n"/>
      <c r="B83" s="27">
        <f>IF($A83="","",TEXT($A83,"YYYY-MM"))</f>
        <v/>
      </c>
      <c r="C83" s="28" t="n"/>
      <c r="D83" s="29" t="n"/>
      <c r="E83" s="17">
        <f>IFERROR(IF($C83="","",INDEX(PRODUCTOS!$E$5:$E$44,MATCH($C83,PRODUCTOS!$B$5:$B$44,0))),"")</f>
        <v/>
      </c>
      <c r="F83" s="17">
        <f>IFERROR(IF($C83="","",$D83*$E83),"")</f>
        <v/>
      </c>
      <c r="G83" s="17">
        <f>IFERROR(IF($C83="","",$F83-$H83),"")</f>
        <v/>
      </c>
      <c r="H83" s="17">
        <f>IFERROR(IF($C83="","",$F83/(1+INICIO!$C$5)),"")</f>
        <v/>
      </c>
      <c r="I83" s="17">
        <f>IFERROR(IF($C83="","",$D83*INDEX(PRODUCTOS!$D$5:$D$44,MATCH($C83,PRODUCTOS!$B$5:$B$44,0))),"")</f>
        <v/>
      </c>
      <c r="J83" s="30">
        <f>IFERROR(IF($C83="","",$H83-$I83),"")</f>
        <v/>
      </c>
      <c r="K83" s="28" t="n"/>
      <c r="L83" s="28" t="n"/>
    </row>
    <row r="84">
      <c r="A84" s="26" t="n"/>
      <c r="B84" s="27">
        <f>IF($A84="","",TEXT($A84,"YYYY-MM"))</f>
        <v/>
      </c>
      <c r="C84" s="28" t="n"/>
      <c r="D84" s="29" t="n"/>
      <c r="E84" s="17">
        <f>IFERROR(IF($C84="","",INDEX(PRODUCTOS!$E$5:$E$44,MATCH($C84,PRODUCTOS!$B$5:$B$44,0))),"")</f>
        <v/>
      </c>
      <c r="F84" s="17">
        <f>IFERROR(IF($C84="","",$D84*$E84),"")</f>
        <v/>
      </c>
      <c r="G84" s="17">
        <f>IFERROR(IF($C84="","",$F84-$H84),"")</f>
        <v/>
      </c>
      <c r="H84" s="17">
        <f>IFERROR(IF($C84="","",$F84/(1+INICIO!$C$5)),"")</f>
        <v/>
      </c>
      <c r="I84" s="17">
        <f>IFERROR(IF($C84="","",$D84*INDEX(PRODUCTOS!$D$5:$D$44,MATCH($C84,PRODUCTOS!$B$5:$B$44,0))),"")</f>
        <v/>
      </c>
      <c r="J84" s="30">
        <f>IFERROR(IF($C84="","",$H84-$I84),"")</f>
        <v/>
      </c>
      <c r="K84" s="28" t="n"/>
      <c r="L84" s="28" t="n"/>
    </row>
    <row r="85">
      <c r="A85" s="26" t="n"/>
      <c r="B85" s="27">
        <f>IF($A85="","",TEXT($A85,"YYYY-MM"))</f>
        <v/>
      </c>
      <c r="C85" s="28" t="n"/>
      <c r="D85" s="29" t="n"/>
      <c r="E85" s="17">
        <f>IFERROR(IF($C85="","",INDEX(PRODUCTOS!$E$5:$E$44,MATCH($C85,PRODUCTOS!$B$5:$B$44,0))),"")</f>
        <v/>
      </c>
      <c r="F85" s="17">
        <f>IFERROR(IF($C85="","",$D85*$E85),"")</f>
        <v/>
      </c>
      <c r="G85" s="17">
        <f>IFERROR(IF($C85="","",$F85-$H85),"")</f>
        <v/>
      </c>
      <c r="H85" s="17">
        <f>IFERROR(IF($C85="","",$F85/(1+INICIO!$C$5)),"")</f>
        <v/>
      </c>
      <c r="I85" s="17">
        <f>IFERROR(IF($C85="","",$D85*INDEX(PRODUCTOS!$D$5:$D$44,MATCH($C85,PRODUCTOS!$B$5:$B$44,0))),"")</f>
        <v/>
      </c>
      <c r="J85" s="30">
        <f>IFERROR(IF($C85="","",$H85-$I85),"")</f>
        <v/>
      </c>
      <c r="K85" s="28" t="n"/>
      <c r="L85" s="28" t="n"/>
    </row>
    <row r="86">
      <c r="A86" s="26" t="n"/>
      <c r="B86" s="27">
        <f>IF($A86="","",TEXT($A86,"YYYY-MM"))</f>
        <v/>
      </c>
      <c r="C86" s="28" t="n"/>
      <c r="D86" s="29" t="n"/>
      <c r="E86" s="17">
        <f>IFERROR(IF($C86="","",INDEX(PRODUCTOS!$E$5:$E$44,MATCH($C86,PRODUCTOS!$B$5:$B$44,0))),"")</f>
        <v/>
      </c>
      <c r="F86" s="17">
        <f>IFERROR(IF($C86="","",$D86*$E86),"")</f>
        <v/>
      </c>
      <c r="G86" s="17">
        <f>IFERROR(IF($C86="","",$F86-$H86),"")</f>
        <v/>
      </c>
      <c r="H86" s="17">
        <f>IFERROR(IF($C86="","",$F86/(1+INICIO!$C$5)),"")</f>
        <v/>
      </c>
      <c r="I86" s="17">
        <f>IFERROR(IF($C86="","",$D86*INDEX(PRODUCTOS!$D$5:$D$44,MATCH($C86,PRODUCTOS!$B$5:$B$44,0))),"")</f>
        <v/>
      </c>
      <c r="J86" s="30">
        <f>IFERROR(IF($C86="","",$H86-$I86),"")</f>
        <v/>
      </c>
      <c r="K86" s="28" t="n"/>
      <c r="L86" s="28" t="n"/>
    </row>
    <row r="87">
      <c r="A87" s="26" t="n"/>
      <c r="B87" s="27">
        <f>IF($A87="","",TEXT($A87,"YYYY-MM"))</f>
        <v/>
      </c>
      <c r="C87" s="28" t="n"/>
      <c r="D87" s="29" t="n"/>
      <c r="E87" s="17">
        <f>IFERROR(IF($C87="","",INDEX(PRODUCTOS!$E$5:$E$44,MATCH($C87,PRODUCTOS!$B$5:$B$44,0))),"")</f>
        <v/>
      </c>
      <c r="F87" s="17">
        <f>IFERROR(IF($C87="","",$D87*$E87),"")</f>
        <v/>
      </c>
      <c r="G87" s="17">
        <f>IFERROR(IF($C87="","",$F87-$H87),"")</f>
        <v/>
      </c>
      <c r="H87" s="17">
        <f>IFERROR(IF($C87="","",$F87/(1+INICIO!$C$5)),"")</f>
        <v/>
      </c>
      <c r="I87" s="17">
        <f>IFERROR(IF($C87="","",$D87*INDEX(PRODUCTOS!$D$5:$D$44,MATCH($C87,PRODUCTOS!$B$5:$B$44,0))),"")</f>
        <v/>
      </c>
      <c r="J87" s="30">
        <f>IFERROR(IF($C87="","",$H87-$I87),"")</f>
        <v/>
      </c>
      <c r="K87" s="28" t="n"/>
      <c r="L87" s="28" t="n"/>
    </row>
    <row r="88">
      <c r="A88" s="26" t="n"/>
      <c r="B88" s="27">
        <f>IF($A88="","",TEXT($A88,"YYYY-MM"))</f>
        <v/>
      </c>
      <c r="C88" s="28" t="n"/>
      <c r="D88" s="29" t="n"/>
      <c r="E88" s="17">
        <f>IFERROR(IF($C88="","",INDEX(PRODUCTOS!$E$5:$E$44,MATCH($C88,PRODUCTOS!$B$5:$B$44,0))),"")</f>
        <v/>
      </c>
      <c r="F88" s="17">
        <f>IFERROR(IF($C88="","",$D88*$E88),"")</f>
        <v/>
      </c>
      <c r="G88" s="17">
        <f>IFERROR(IF($C88="","",$F88-$H88),"")</f>
        <v/>
      </c>
      <c r="H88" s="17">
        <f>IFERROR(IF($C88="","",$F88/(1+INICIO!$C$5)),"")</f>
        <v/>
      </c>
      <c r="I88" s="17">
        <f>IFERROR(IF($C88="","",$D88*INDEX(PRODUCTOS!$D$5:$D$44,MATCH($C88,PRODUCTOS!$B$5:$B$44,0))),"")</f>
        <v/>
      </c>
      <c r="J88" s="30">
        <f>IFERROR(IF($C88="","",$H88-$I88),"")</f>
        <v/>
      </c>
      <c r="K88" s="28" t="n"/>
      <c r="L88" s="28" t="n"/>
    </row>
    <row r="89">
      <c r="A89" s="26" t="n"/>
      <c r="B89" s="27">
        <f>IF($A89="","",TEXT($A89,"YYYY-MM"))</f>
        <v/>
      </c>
      <c r="C89" s="28" t="n"/>
      <c r="D89" s="29" t="n"/>
      <c r="E89" s="17">
        <f>IFERROR(IF($C89="","",INDEX(PRODUCTOS!$E$5:$E$44,MATCH($C89,PRODUCTOS!$B$5:$B$44,0))),"")</f>
        <v/>
      </c>
      <c r="F89" s="17">
        <f>IFERROR(IF($C89="","",$D89*$E89),"")</f>
        <v/>
      </c>
      <c r="G89" s="17">
        <f>IFERROR(IF($C89="","",$F89-$H89),"")</f>
        <v/>
      </c>
      <c r="H89" s="17">
        <f>IFERROR(IF($C89="","",$F89/(1+INICIO!$C$5)),"")</f>
        <v/>
      </c>
      <c r="I89" s="17">
        <f>IFERROR(IF($C89="","",$D89*INDEX(PRODUCTOS!$D$5:$D$44,MATCH($C89,PRODUCTOS!$B$5:$B$44,0))),"")</f>
        <v/>
      </c>
      <c r="J89" s="30">
        <f>IFERROR(IF($C89="","",$H89-$I89),"")</f>
        <v/>
      </c>
      <c r="K89" s="28" t="n"/>
      <c r="L89" s="28" t="n"/>
    </row>
    <row r="90">
      <c r="A90" s="26" t="n"/>
      <c r="B90" s="27">
        <f>IF($A90="","",TEXT($A90,"YYYY-MM"))</f>
        <v/>
      </c>
      <c r="C90" s="28" t="n"/>
      <c r="D90" s="29" t="n"/>
      <c r="E90" s="17">
        <f>IFERROR(IF($C90="","",INDEX(PRODUCTOS!$E$5:$E$44,MATCH($C90,PRODUCTOS!$B$5:$B$44,0))),"")</f>
        <v/>
      </c>
      <c r="F90" s="17">
        <f>IFERROR(IF($C90="","",$D90*$E90),"")</f>
        <v/>
      </c>
      <c r="G90" s="17">
        <f>IFERROR(IF($C90="","",$F90-$H90),"")</f>
        <v/>
      </c>
      <c r="H90" s="17">
        <f>IFERROR(IF($C90="","",$F90/(1+INICIO!$C$5)),"")</f>
        <v/>
      </c>
      <c r="I90" s="17">
        <f>IFERROR(IF($C90="","",$D90*INDEX(PRODUCTOS!$D$5:$D$44,MATCH($C90,PRODUCTOS!$B$5:$B$44,0))),"")</f>
        <v/>
      </c>
      <c r="J90" s="30">
        <f>IFERROR(IF($C90="","",$H90-$I90),"")</f>
        <v/>
      </c>
      <c r="K90" s="28" t="n"/>
      <c r="L90" s="28" t="n"/>
    </row>
    <row r="91">
      <c r="A91" s="26" t="n"/>
      <c r="B91" s="27">
        <f>IF($A91="","",TEXT($A91,"YYYY-MM"))</f>
        <v/>
      </c>
      <c r="C91" s="28" t="n"/>
      <c r="D91" s="29" t="n"/>
      <c r="E91" s="17">
        <f>IFERROR(IF($C91="","",INDEX(PRODUCTOS!$E$5:$E$44,MATCH($C91,PRODUCTOS!$B$5:$B$44,0))),"")</f>
        <v/>
      </c>
      <c r="F91" s="17">
        <f>IFERROR(IF($C91="","",$D91*$E91),"")</f>
        <v/>
      </c>
      <c r="G91" s="17">
        <f>IFERROR(IF($C91="","",$F91-$H91),"")</f>
        <v/>
      </c>
      <c r="H91" s="17">
        <f>IFERROR(IF($C91="","",$F91/(1+INICIO!$C$5)),"")</f>
        <v/>
      </c>
      <c r="I91" s="17">
        <f>IFERROR(IF($C91="","",$D91*INDEX(PRODUCTOS!$D$5:$D$44,MATCH($C91,PRODUCTOS!$B$5:$B$44,0))),"")</f>
        <v/>
      </c>
      <c r="J91" s="30">
        <f>IFERROR(IF($C91="","",$H91-$I91),"")</f>
        <v/>
      </c>
      <c r="K91" s="28" t="n"/>
      <c r="L91" s="28" t="n"/>
    </row>
    <row r="92">
      <c r="A92" s="26" t="n"/>
      <c r="B92" s="27">
        <f>IF($A92="","",TEXT($A92,"YYYY-MM"))</f>
        <v/>
      </c>
      <c r="C92" s="28" t="n"/>
      <c r="D92" s="29" t="n"/>
      <c r="E92" s="17">
        <f>IFERROR(IF($C92="","",INDEX(PRODUCTOS!$E$5:$E$44,MATCH($C92,PRODUCTOS!$B$5:$B$44,0))),"")</f>
        <v/>
      </c>
      <c r="F92" s="17">
        <f>IFERROR(IF($C92="","",$D92*$E92),"")</f>
        <v/>
      </c>
      <c r="G92" s="17">
        <f>IFERROR(IF($C92="","",$F92-$H92),"")</f>
        <v/>
      </c>
      <c r="H92" s="17">
        <f>IFERROR(IF($C92="","",$F92/(1+INICIO!$C$5)),"")</f>
        <v/>
      </c>
      <c r="I92" s="17">
        <f>IFERROR(IF($C92="","",$D92*INDEX(PRODUCTOS!$D$5:$D$44,MATCH($C92,PRODUCTOS!$B$5:$B$44,0))),"")</f>
        <v/>
      </c>
      <c r="J92" s="30">
        <f>IFERROR(IF($C92="","",$H92-$I92),"")</f>
        <v/>
      </c>
      <c r="K92" s="28" t="n"/>
      <c r="L92" s="28" t="n"/>
    </row>
    <row r="93">
      <c r="A93" s="26" t="n"/>
      <c r="B93" s="27">
        <f>IF($A93="","",TEXT($A93,"YYYY-MM"))</f>
        <v/>
      </c>
      <c r="C93" s="28" t="n"/>
      <c r="D93" s="29" t="n"/>
      <c r="E93" s="17">
        <f>IFERROR(IF($C93="","",INDEX(PRODUCTOS!$E$5:$E$44,MATCH($C93,PRODUCTOS!$B$5:$B$44,0))),"")</f>
        <v/>
      </c>
      <c r="F93" s="17">
        <f>IFERROR(IF($C93="","",$D93*$E93),"")</f>
        <v/>
      </c>
      <c r="G93" s="17">
        <f>IFERROR(IF($C93="","",$F93-$H93),"")</f>
        <v/>
      </c>
      <c r="H93" s="17">
        <f>IFERROR(IF($C93="","",$F93/(1+INICIO!$C$5)),"")</f>
        <v/>
      </c>
      <c r="I93" s="17">
        <f>IFERROR(IF($C93="","",$D93*INDEX(PRODUCTOS!$D$5:$D$44,MATCH($C93,PRODUCTOS!$B$5:$B$44,0))),"")</f>
        <v/>
      </c>
      <c r="J93" s="30">
        <f>IFERROR(IF($C93="","",$H93-$I93),"")</f>
        <v/>
      </c>
      <c r="K93" s="28" t="n"/>
      <c r="L93" s="28" t="n"/>
    </row>
    <row r="94">
      <c r="A94" s="26" t="n"/>
      <c r="B94" s="27">
        <f>IF($A94="","",TEXT($A94,"YYYY-MM"))</f>
        <v/>
      </c>
      <c r="C94" s="28" t="n"/>
      <c r="D94" s="29" t="n"/>
      <c r="E94" s="17">
        <f>IFERROR(IF($C94="","",INDEX(PRODUCTOS!$E$5:$E$44,MATCH($C94,PRODUCTOS!$B$5:$B$44,0))),"")</f>
        <v/>
      </c>
      <c r="F94" s="17">
        <f>IFERROR(IF($C94="","",$D94*$E94),"")</f>
        <v/>
      </c>
      <c r="G94" s="17">
        <f>IFERROR(IF($C94="","",$F94-$H94),"")</f>
        <v/>
      </c>
      <c r="H94" s="17">
        <f>IFERROR(IF($C94="","",$F94/(1+INICIO!$C$5)),"")</f>
        <v/>
      </c>
      <c r="I94" s="17">
        <f>IFERROR(IF($C94="","",$D94*INDEX(PRODUCTOS!$D$5:$D$44,MATCH($C94,PRODUCTOS!$B$5:$B$44,0))),"")</f>
        <v/>
      </c>
      <c r="J94" s="30">
        <f>IFERROR(IF($C94="","",$H94-$I94),"")</f>
        <v/>
      </c>
      <c r="K94" s="28" t="n"/>
      <c r="L94" s="28" t="n"/>
    </row>
    <row r="95">
      <c r="A95" s="26" t="n"/>
      <c r="B95" s="27">
        <f>IF($A95="","",TEXT($A95,"YYYY-MM"))</f>
        <v/>
      </c>
      <c r="C95" s="28" t="n"/>
      <c r="D95" s="29" t="n"/>
      <c r="E95" s="17">
        <f>IFERROR(IF($C95="","",INDEX(PRODUCTOS!$E$5:$E$44,MATCH($C95,PRODUCTOS!$B$5:$B$44,0))),"")</f>
        <v/>
      </c>
      <c r="F95" s="17">
        <f>IFERROR(IF($C95="","",$D95*$E95),"")</f>
        <v/>
      </c>
      <c r="G95" s="17">
        <f>IFERROR(IF($C95="","",$F95-$H95),"")</f>
        <v/>
      </c>
      <c r="H95" s="17">
        <f>IFERROR(IF($C95="","",$F95/(1+INICIO!$C$5)),"")</f>
        <v/>
      </c>
      <c r="I95" s="17">
        <f>IFERROR(IF($C95="","",$D95*INDEX(PRODUCTOS!$D$5:$D$44,MATCH($C95,PRODUCTOS!$B$5:$B$44,0))),"")</f>
        <v/>
      </c>
      <c r="J95" s="30">
        <f>IFERROR(IF($C95="","",$H95-$I95),"")</f>
        <v/>
      </c>
      <c r="K95" s="28" t="n"/>
      <c r="L95" s="28" t="n"/>
    </row>
    <row r="96">
      <c r="A96" s="26" t="n"/>
      <c r="B96" s="27">
        <f>IF($A96="","",TEXT($A96,"YYYY-MM"))</f>
        <v/>
      </c>
      <c r="C96" s="28" t="n"/>
      <c r="D96" s="29" t="n"/>
      <c r="E96" s="17">
        <f>IFERROR(IF($C96="","",INDEX(PRODUCTOS!$E$5:$E$44,MATCH($C96,PRODUCTOS!$B$5:$B$44,0))),"")</f>
        <v/>
      </c>
      <c r="F96" s="17">
        <f>IFERROR(IF($C96="","",$D96*$E96),"")</f>
        <v/>
      </c>
      <c r="G96" s="17">
        <f>IFERROR(IF($C96="","",$F96-$H96),"")</f>
        <v/>
      </c>
      <c r="H96" s="17">
        <f>IFERROR(IF($C96="","",$F96/(1+INICIO!$C$5)),"")</f>
        <v/>
      </c>
      <c r="I96" s="17">
        <f>IFERROR(IF($C96="","",$D96*INDEX(PRODUCTOS!$D$5:$D$44,MATCH($C96,PRODUCTOS!$B$5:$B$44,0))),"")</f>
        <v/>
      </c>
      <c r="J96" s="30">
        <f>IFERROR(IF($C96="","",$H96-$I96),"")</f>
        <v/>
      </c>
      <c r="K96" s="28" t="n"/>
      <c r="L96" s="28" t="n"/>
    </row>
    <row r="97">
      <c r="A97" s="26" t="n"/>
      <c r="B97" s="27">
        <f>IF($A97="","",TEXT($A97,"YYYY-MM"))</f>
        <v/>
      </c>
      <c r="C97" s="28" t="n"/>
      <c r="D97" s="29" t="n"/>
      <c r="E97" s="17">
        <f>IFERROR(IF($C97="","",INDEX(PRODUCTOS!$E$5:$E$44,MATCH($C97,PRODUCTOS!$B$5:$B$44,0))),"")</f>
        <v/>
      </c>
      <c r="F97" s="17">
        <f>IFERROR(IF($C97="","",$D97*$E97),"")</f>
        <v/>
      </c>
      <c r="G97" s="17">
        <f>IFERROR(IF($C97="","",$F97-$H97),"")</f>
        <v/>
      </c>
      <c r="H97" s="17">
        <f>IFERROR(IF($C97="","",$F97/(1+INICIO!$C$5)),"")</f>
        <v/>
      </c>
      <c r="I97" s="17">
        <f>IFERROR(IF($C97="","",$D97*INDEX(PRODUCTOS!$D$5:$D$44,MATCH($C97,PRODUCTOS!$B$5:$B$44,0))),"")</f>
        <v/>
      </c>
      <c r="J97" s="30">
        <f>IFERROR(IF($C97="","",$H97-$I97),"")</f>
        <v/>
      </c>
      <c r="K97" s="28" t="n"/>
      <c r="L97" s="28" t="n"/>
    </row>
    <row r="98">
      <c r="A98" s="26" t="n"/>
      <c r="B98" s="27">
        <f>IF($A98="","",TEXT($A98,"YYYY-MM"))</f>
        <v/>
      </c>
      <c r="C98" s="28" t="n"/>
      <c r="D98" s="29" t="n"/>
      <c r="E98" s="17">
        <f>IFERROR(IF($C98="","",INDEX(PRODUCTOS!$E$5:$E$44,MATCH($C98,PRODUCTOS!$B$5:$B$44,0))),"")</f>
        <v/>
      </c>
      <c r="F98" s="17">
        <f>IFERROR(IF($C98="","",$D98*$E98),"")</f>
        <v/>
      </c>
      <c r="G98" s="17">
        <f>IFERROR(IF($C98="","",$F98-$H98),"")</f>
        <v/>
      </c>
      <c r="H98" s="17">
        <f>IFERROR(IF($C98="","",$F98/(1+INICIO!$C$5)),"")</f>
        <v/>
      </c>
      <c r="I98" s="17">
        <f>IFERROR(IF($C98="","",$D98*INDEX(PRODUCTOS!$D$5:$D$44,MATCH($C98,PRODUCTOS!$B$5:$B$44,0))),"")</f>
        <v/>
      </c>
      <c r="J98" s="30">
        <f>IFERROR(IF($C98="","",$H98-$I98),"")</f>
        <v/>
      </c>
      <c r="K98" s="28" t="n"/>
      <c r="L98" s="28" t="n"/>
    </row>
    <row r="99">
      <c r="A99" s="26" t="n"/>
      <c r="B99" s="27">
        <f>IF($A99="","",TEXT($A99,"YYYY-MM"))</f>
        <v/>
      </c>
      <c r="C99" s="28" t="n"/>
      <c r="D99" s="29" t="n"/>
      <c r="E99" s="17">
        <f>IFERROR(IF($C99="","",INDEX(PRODUCTOS!$E$5:$E$44,MATCH($C99,PRODUCTOS!$B$5:$B$44,0))),"")</f>
        <v/>
      </c>
      <c r="F99" s="17">
        <f>IFERROR(IF($C99="","",$D99*$E99),"")</f>
        <v/>
      </c>
      <c r="G99" s="17">
        <f>IFERROR(IF($C99="","",$F99-$H99),"")</f>
        <v/>
      </c>
      <c r="H99" s="17">
        <f>IFERROR(IF($C99="","",$F99/(1+INICIO!$C$5)),"")</f>
        <v/>
      </c>
      <c r="I99" s="17">
        <f>IFERROR(IF($C99="","",$D99*INDEX(PRODUCTOS!$D$5:$D$44,MATCH($C99,PRODUCTOS!$B$5:$B$44,0))),"")</f>
        <v/>
      </c>
      <c r="J99" s="30">
        <f>IFERROR(IF($C99="","",$H99-$I99),"")</f>
        <v/>
      </c>
      <c r="K99" s="28" t="n"/>
      <c r="L99" s="28" t="n"/>
    </row>
    <row r="100">
      <c r="A100" s="26" t="n"/>
      <c r="B100" s="27">
        <f>IF($A100="","",TEXT($A100,"YYYY-MM"))</f>
        <v/>
      </c>
      <c r="C100" s="28" t="n"/>
      <c r="D100" s="29" t="n"/>
      <c r="E100" s="17">
        <f>IFERROR(IF($C100="","",INDEX(PRODUCTOS!$E$5:$E$44,MATCH($C100,PRODUCTOS!$B$5:$B$44,0))),"")</f>
        <v/>
      </c>
      <c r="F100" s="17">
        <f>IFERROR(IF($C100="","",$D100*$E100),"")</f>
        <v/>
      </c>
      <c r="G100" s="17">
        <f>IFERROR(IF($C100="","",$F100-$H100),"")</f>
        <v/>
      </c>
      <c r="H100" s="17">
        <f>IFERROR(IF($C100="","",$F100/(1+INICIO!$C$5)),"")</f>
        <v/>
      </c>
      <c r="I100" s="17">
        <f>IFERROR(IF($C100="","",$D100*INDEX(PRODUCTOS!$D$5:$D$44,MATCH($C100,PRODUCTOS!$B$5:$B$44,0))),"")</f>
        <v/>
      </c>
      <c r="J100" s="30">
        <f>IFERROR(IF($C100="","",$H100-$I100),"")</f>
        <v/>
      </c>
      <c r="K100" s="28" t="n"/>
      <c r="L100" s="28" t="n"/>
    </row>
    <row r="101">
      <c r="A101" s="26" t="n"/>
      <c r="B101" s="27">
        <f>IF($A101="","",TEXT($A101,"YYYY-MM"))</f>
        <v/>
      </c>
      <c r="C101" s="28" t="n"/>
      <c r="D101" s="29" t="n"/>
      <c r="E101" s="17">
        <f>IFERROR(IF($C101="","",INDEX(PRODUCTOS!$E$5:$E$44,MATCH($C101,PRODUCTOS!$B$5:$B$44,0))),"")</f>
        <v/>
      </c>
      <c r="F101" s="17">
        <f>IFERROR(IF($C101="","",$D101*$E101),"")</f>
        <v/>
      </c>
      <c r="G101" s="17">
        <f>IFERROR(IF($C101="","",$F101-$H101),"")</f>
        <v/>
      </c>
      <c r="H101" s="17">
        <f>IFERROR(IF($C101="","",$F101/(1+INICIO!$C$5)),"")</f>
        <v/>
      </c>
      <c r="I101" s="17">
        <f>IFERROR(IF($C101="","",$D101*INDEX(PRODUCTOS!$D$5:$D$44,MATCH($C101,PRODUCTOS!$B$5:$B$44,0))),"")</f>
        <v/>
      </c>
      <c r="J101" s="30">
        <f>IFERROR(IF($C101="","",$H101-$I101),"")</f>
        <v/>
      </c>
      <c r="K101" s="28" t="n"/>
      <c r="L101" s="28" t="n"/>
    </row>
    <row r="102">
      <c r="A102" s="26" t="n"/>
      <c r="B102" s="27">
        <f>IF($A102="","",TEXT($A102,"YYYY-MM"))</f>
        <v/>
      </c>
      <c r="C102" s="28" t="n"/>
      <c r="D102" s="29" t="n"/>
      <c r="E102" s="17">
        <f>IFERROR(IF($C102="","",INDEX(PRODUCTOS!$E$5:$E$44,MATCH($C102,PRODUCTOS!$B$5:$B$44,0))),"")</f>
        <v/>
      </c>
      <c r="F102" s="17">
        <f>IFERROR(IF($C102="","",$D102*$E102),"")</f>
        <v/>
      </c>
      <c r="G102" s="17">
        <f>IFERROR(IF($C102="","",$F102-$H102),"")</f>
        <v/>
      </c>
      <c r="H102" s="17">
        <f>IFERROR(IF($C102="","",$F102/(1+INICIO!$C$5)),"")</f>
        <v/>
      </c>
      <c r="I102" s="17">
        <f>IFERROR(IF($C102="","",$D102*INDEX(PRODUCTOS!$D$5:$D$44,MATCH($C102,PRODUCTOS!$B$5:$B$44,0))),"")</f>
        <v/>
      </c>
      <c r="J102" s="30">
        <f>IFERROR(IF($C102="","",$H102-$I102),"")</f>
        <v/>
      </c>
      <c r="K102" s="28" t="n"/>
      <c r="L102" s="28" t="n"/>
    </row>
    <row r="103">
      <c r="A103" s="26" t="n"/>
      <c r="B103" s="27">
        <f>IF($A103="","",TEXT($A103,"YYYY-MM"))</f>
        <v/>
      </c>
      <c r="C103" s="28" t="n"/>
      <c r="D103" s="29" t="n"/>
      <c r="E103" s="17">
        <f>IFERROR(IF($C103="","",INDEX(PRODUCTOS!$E$5:$E$44,MATCH($C103,PRODUCTOS!$B$5:$B$44,0))),"")</f>
        <v/>
      </c>
      <c r="F103" s="17">
        <f>IFERROR(IF($C103="","",$D103*$E103),"")</f>
        <v/>
      </c>
      <c r="G103" s="17">
        <f>IFERROR(IF($C103="","",$F103-$H103),"")</f>
        <v/>
      </c>
      <c r="H103" s="17">
        <f>IFERROR(IF($C103="","",$F103/(1+INICIO!$C$5)),"")</f>
        <v/>
      </c>
      <c r="I103" s="17">
        <f>IFERROR(IF($C103="","",$D103*INDEX(PRODUCTOS!$D$5:$D$44,MATCH($C103,PRODUCTOS!$B$5:$B$44,0))),"")</f>
        <v/>
      </c>
      <c r="J103" s="30">
        <f>IFERROR(IF($C103="","",$H103-$I103),"")</f>
        <v/>
      </c>
      <c r="K103" s="28" t="n"/>
      <c r="L103" s="28" t="n"/>
    </row>
    <row r="104">
      <c r="A104" s="26" t="n"/>
      <c r="B104" s="27">
        <f>IF($A104="","",TEXT($A104,"YYYY-MM"))</f>
        <v/>
      </c>
      <c r="C104" s="28" t="n"/>
      <c r="D104" s="29" t="n"/>
      <c r="E104" s="17">
        <f>IFERROR(IF($C104="","",INDEX(PRODUCTOS!$E$5:$E$44,MATCH($C104,PRODUCTOS!$B$5:$B$44,0))),"")</f>
        <v/>
      </c>
      <c r="F104" s="17">
        <f>IFERROR(IF($C104="","",$D104*$E104),"")</f>
        <v/>
      </c>
      <c r="G104" s="17">
        <f>IFERROR(IF($C104="","",$F104-$H104),"")</f>
        <v/>
      </c>
      <c r="H104" s="17">
        <f>IFERROR(IF($C104="","",$F104/(1+INICIO!$C$5)),"")</f>
        <v/>
      </c>
      <c r="I104" s="17">
        <f>IFERROR(IF($C104="","",$D104*INDEX(PRODUCTOS!$D$5:$D$44,MATCH($C104,PRODUCTOS!$B$5:$B$44,0))),"")</f>
        <v/>
      </c>
      <c r="J104" s="30">
        <f>IFERROR(IF($C104="","",$H104-$I104),"")</f>
        <v/>
      </c>
      <c r="K104" s="28" t="n"/>
      <c r="L104" s="28" t="n"/>
    </row>
    <row r="105">
      <c r="A105" s="26" t="n"/>
      <c r="B105" s="27">
        <f>IF($A105="","",TEXT($A105,"YYYY-MM"))</f>
        <v/>
      </c>
      <c r="C105" s="28" t="n"/>
      <c r="D105" s="29" t="n"/>
      <c r="E105" s="17">
        <f>IFERROR(IF($C105="","",INDEX(PRODUCTOS!$E$5:$E$44,MATCH($C105,PRODUCTOS!$B$5:$B$44,0))),"")</f>
        <v/>
      </c>
      <c r="F105" s="17">
        <f>IFERROR(IF($C105="","",$D105*$E105),"")</f>
        <v/>
      </c>
      <c r="G105" s="17">
        <f>IFERROR(IF($C105="","",$F105-$H105),"")</f>
        <v/>
      </c>
      <c r="H105" s="17">
        <f>IFERROR(IF($C105="","",$F105/(1+INICIO!$C$5)),"")</f>
        <v/>
      </c>
      <c r="I105" s="17">
        <f>IFERROR(IF($C105="","",$D105*INDEX(PRODUCTOS!$D$5:$D$44,MATCH($C105,PRODUCTOS!$B$5:$B$44,0))),"")</f>
        <v/>
      </c>
      <c r="J105" s="30">
        <f>IFERROR(IF($C105="","",$H105-$I105),"")</f>
        <v/>
      </c>
      <c r="K105" s="28" t="n"/>
      <c r="L105" s="28" t="n"/>
    </row>
    <row r="106">
      <c r="A106" s="26" t="n"/>
      <c r="B106" s="27">
        <f>IF($A106="","",TEXT($A106,"YYYY-MM"))</f>
        <v/>
      </c>
      <c r="C106" s="28" t="n"/>
      <c r="D106" s="29" t="n"/>
      <c r="E106" s="17">
        <f>IFERROR(IF($C106="","",INDEX(PRODUCTOS!$E$5:$E$44,MATCH($C106,PRODUCTOS!$B$5:$B$44,0))),"")</f>
        <v/>
      </c>
      <c r="F106" s="17">
        <f>IFERROR(IF($C106="","",$D106*$E106),"")</f>
        <v/>
      </c>
      <c r="G106" s="17">
        <f>IFERROR(IF($C106="","",$F106-$H106),"")</f>
        <v/>
      </c>
      <c r="H106" s="17">
        <f>IFERROR(IF($C106="","",$F106/(1+INICIO!$C$5)),"")</f>
        <v/>
      </c>
      <c r="I106" s="17">
        <f>IFERROR(IF($C106="","",$D106*INDEX(PRODUCTOS!$D$5:$D$44,MATCH($C106,PRODUCTOS!$B$5:$B$44,0))),"")</f>
        <v/>
      </c>
      <c r="J106" s="30">
        <f>IFERROR(IF($C106="","",$H106-$I106),"")</f>
        <v/>
      </c>
      <c r="K106" s="28" t="n"/>
      <c r="L106" s="28" t="n"/>
    </row>
    <row r="107">
      <c r="A107" s="26" t="n"/>
      <c r="B107" s="27">
        <f>IF($A107="","",TEXT($A107,"YYYY-MM"))</f>
        <v/>
      </c>
      <c r="C107" s="28" t="n"/>
      <c r="D107" s="29" t="n"/>
      <c r="E107" s="17">
        <f>IFERROR(IF($C107="","",INDEX(PRODUCTOS!$E$5:$E$44,MATCH($C107,PRODUCTOS!$B$5:$B$44,0))),"")</f>
        <v/>
      </c>
      <c r="F107" s="17">
        <f>IFERROR(IF($C107="","",$D107*$E107),"")</f>
        <v/>
      </c>
      <c r="G107" s="17">
        <f>IFERROR(IF($C107="","",$F107-$H107),"")</f>
        <v/>
      </c>
      <c r="H107" s="17">
        <f>IFERROR(IF($C107="","",$F107/(1+INICIO!$C$5)),"")</f>
        <v/>
      </c>
      <c r="I107" s="17">
        <f>IFERROR(IF($C107="","",$D107*INDEX(PRODUCTOS!$D$5:$D$44,MATCH($C107,PRODUCTOS!$B$5:$B$44,0))),"")</f>
        <v/>
      </c>
      <c r="J107" s="30">
        <f>IFERROR(IF($C107="","",$H107-$I107),"")</f>
        <v/>
      </c>
      <c r="K107" s="28" t="n"/>
      <c r="L107" s="28" t="n"/>
    </row>
    <row r="108">
      <c r="A108" s="26" t="n"/>
      <c r="B108" s="27">
        <f>IF($A108="","",TEXT($A108,"YYYY-MM"))</f>
        <v/>
      </c>
      <c r="C108" s="28" t="n"/>
      <c r="D108" s="29" t="n"/>
      <c r="E108" s="17">
        <f>IFERROR(IF($C108="","",INDEX(PRODUCTOS!$E$5:$E$44,MATCH($C108,PRODUCTOS!$B$5:$B$44,0))),"")</f>
        <v/>
      </c>
      <c r="F108" s="17">
        <f>IFERROR(IF($C108="","",$D108*$E108),"")</f>
        <v/>
      </c>
      <c r="G108" s="17">
        <f>IFERROR(IF($C108="","",$F108-$H108),"")</f>
        <v/>
      </c>
      <c r="H108" s="17">
        <f>IFERROR(IF($C108="","",$F108/(1+INICIO!$C$5)),"")</f>
        <v/>
      </c>
      <c r="I108" s="17">
        <f>IFERROR(IF($C108="","",$D108*INDEX(PRODUCTOS!$D$5:$D$44,MATCH($C108,PRODUCTOS!$B$5:$B$44,0))),"")</f>
        <v/>
      </c>
      <c r="J108" s="30">
        <f>IFERROR(IF($C108="","",$H108-$I108),"")</f>
        <v/>
      </c>
      <c r="K108" s="28" t="n"/>
      <c r="L108" s="28" t="n"/>
    </row>
    <row r="109">
      <c r="A109" s="26" t="n"/>
      <c r="B109" s="27">
        <f>IF($A109="","",TEXT($A109,"YYYY-MM"))</f>
        <v/>
      </c>
      <c r="C109" s="28" t="n"/>
      <c r="D109" s="29" t="n"/>
      <c r="E109" s="17">
        <f>IFERROR(IF($C109="","",INDEX(PRODUCTOS!$E$5:$E$44,MATCH($C109,PRODUCTOS!$B$5:$B$44,0))),"")</f>
        <v/>
      </c>
      <c r="F109" s="17">
        <f>IFERROR(IF($C109="","",$D109*$E109),"")</f>
        <v/>
      </c>
      <c r="G109" s="17">
        <f>IFERROR(IF($C109="","",$F109-$H109),"")</f>
        <v/>
      </c>
      <c r="H109" s="17">
        <f>IFERROR(IF($C109="","",$F109/(1+INICIO!$C$5)),"")</f>
        <v/>
      </c>
      <c r="I109" s="17">
        <f>IFERROR(IF($C109="","",$D109*INDEX(PRODUCTOS!$D$5:$D$44,MATCH($C109,PRODUCTOS!$B$5:$B$44,0))),"")</f>
        <v/>
      </c>
      <c r="J109" s="30">
        <f>IFERROR(IF($C109="","",$H109-$I109),"")</f>
        <v/>
      </c>
      <c r="K109" s="28" t="n"/>
      <c r="L109" s="28" t="n"/>
    </row>
    <row r="110">
      <c r="A110" s="26" t="n"/>
      <c r="B110" s="27">
        <f>IF($A110="","",TEXT($A110,"YYYY-MM"))</f>
        <v/>
      </c>
      <c r="C110" s="28" t="n"/>
      <c r="D110" s="29" t="n"/>
      <c r="E110" s="17">
        <f>IFERROR(IF($C110="","",INDEX(PRODUCTOS!$E$5:$E$44,MATCH($C110,PRODUCTOS!$B$5:$B$44,0))),"")</f>
        <v/>
      </c>
      <c r="F110" s="17">
        <f>IFERROR(IF($C110="","",$D110*$E110),"")</f>
        <v/>
      </c>
      <c r="G110" s="17">
        <f>IFERROR(IF($C110="","",$F110-$H110),"")</f>
        <v/>
      </c>
      <c r="H110" s="17">
        <f>IFERROR(IF($C110="","",$F110/(1+INICIO!$C$5)),"")</f>
        <v/>
      </c>
      <c r="I110" s="17">
        <f>IFERROR(IF($C110="","",$D110*INDEX(PRODUCTOS!$D$5:$D$44,MATCH($C110,PRODUCTOS!$B$5:$B$44,0))),"")</f>
        <v/>
      </c>
      <c r="J110" s="30">
        <f>IFERROR(IF($C110="","",$H110-$I110),"")</f>
        <v/>
      </c>
      <c r="K110" s="28" t="n"/>
      <c r="L110" s="28" t="n"/>
    </row>
    <row r="111">
      <c r="A111" s="26" t="n"/>
      <c r="B111" s="27">
        <f>IF($A111="","",TEXT($A111,"YYYY-MM"))</f>
        <v/>
      </c>
      <c r="C111" s="28" t="n"/>
      <c r="D111" s="29" t="n"/>
      <c r="E111" s="17">
        <f>IFERROR(IF($C111="","",INDEX(PRODUCTOS!$E$5:$E$44,MATCH($C111,PRODUCTOS!$B$5:$B$44,0))),"")</f>
        <v/>
      </c>
      <c r="F111" s="17">
        <f>IFERROR(IF($C111="","",$D111*$E111),"")</f>
        <v/>
      </c>
      <c r="G111" s="17">
        <f>IFERROR(IF($C111="","",$F111-$H111),"")</f>
        <v/>
      </c>
      <c r="H111" s="17">
        <f>IFERROR(IF($C111="","",$F111/(1+INICIO!$C$5)),"")</f>
        <v/>
      </c>
      <c r="I111" s="17">
        <f>IFERROR(IF($C111="","",$D111*INDEX(PRODUCTOS!$D$5:$D$44,MATCH($C111,PRODUCTOS!$B$5:$B$44,0))),"")</f>
        <v/>
      </c>
      <c r="J111" s="30">
        <f>IFERROR(IF($C111="","",$H111-$I111),"")</f>
        <v/>
      </c>
      <c r="K111" s="28" t="n"/>
      <c r="L111" s="28" t="n"/>
    </row>
    <row r="112">
      <c r="A112" s="26" t="n"/>
      <c r="B112" s="27">
        <f>IF($A112="","",TEXT($A112,"YYYY-MM"))</f>
        <v/>
      </c>
      <c r="C112" s="28" t="n"/>
      <c r="D112" s="29" t="n"/>
      <c r="E112" s="17">
        <f>IFERROR(IF($C112="","",INDEX(PRODUCTOS!$E$5:$E$44,MATCH($C112,PRODUCTOS!$B$5:$B$44,0))),"")</f>
        <v/>
      </c>
      <c r="F112" s="17">
        <f>IFERROR(IF($C112="","",$D112*$E112),"")</f>
        <v/>
      </c>
      <c r="G112" s="17">
        <f>IFERROR(IF($C112="","",$F112-$H112),"")</f>
        <v/>
      </c>
      <c r="H112" s="17">
        <f>IFERROR(IF($C112="","",$F112/(1+INICIO!$C$5)),"")</f>
        <v/>
      </c>
      <c r="I112" s="17">
        <f>IFERROR(IF($C112="","",$D112*INDEX(PRODUCTOS!$D$5:$D$44,MATCH($C112,PRODUCTOS!$B$5:$B$44,0))),"")</f>
        <v/>
      </c>
      <c r="J112" s="30">
        <f>IFERROR(IF($C112="","",$H112-$I112),"")</f>
        <v/>
      </c>
      <c r="K112" s="28" t="n"/>
      <c r="L112" s="28" t="n"/>
    </row>
    <row r="113">
      <c r="A113" s="26" t="n"/>
      <c r="B113" s="27">
        <f>IF($A113="","",TEXT($A113,"YYYY-MM"))</f>
        <v/>
      </c>
      <c r="C113" s="28" t="n"/>
      <c r="D113" s="29" t="n"/>
      <c r="E113" s="17">
        <f>IFERROR(IF($C113="","",INDEX(PRODUCTOS!$E$5:$E$44,MATCH($C113,PRODUCTOS!$B$5:$B$44,0))),"")</f>
        <v/>
      </c>
      <c r="F113" s="17">
        <f>IFERROR(IF($C113="","",$D113*$E113),"")</f>
        <v/>
      </c>
      <c r="G113" s="17">
        <f>IFERROR(IF($C113="","",$F113-$H113),"")</f>
        <v/>
      </c>
      <c r="H113" s="17">
        <f>IFERROR(IF($C113="","",$F113/(1+INICIO!$C$5)),"")</f>
        <v/>
      </c>
      <c r="I113" s="17">
        <f>IFERROR(IF($C113="","",$D113*INDEX(PRODUCTOS!$D$5:$D$44,MATCH($C113,PRODUCTOS!$B$5:$B$44,0))),"")</f>
        <v/>
      </c>
      <c r="J113" s="30">
        <f>IFERROR(IF($C113="","",$H113-$I113),"")</f>
        <v/>
      </c>
      <c r="K113" s="28" t="n"/>
      <c r="L113" s="28" t="n"/>
    </row>
    <row r="114">
      <c r="A114" s="26" t="n"/>
      <c r="B114" s="27">
        <f>IF($A114="","",TEXT($A114,"YYYY-MM"))</f>
        <v/>
      </c>
      <c r="C114" s="28" t="n"/>
      <c r="D114" s="29" t="n"/>
      <c r="E114" s="17">
        <f>IFERROR(IF($C114="","",INDEX(PRODUCTOS!$E$5:$E$44,MATCH($C114,PRODUCTOS!$B$5:$B$44,0))),"")</f>
        <v/>
      </c>
      <c r="F114" s="17">
        <f>IFERROR(IF($C114="","",$D114*$E114),"")</f>
        <v/>
      </c>
      <c r="G114" s="17">
        <f>IFERROR(IF($C114="","",$F114-$H114),"")</f>
        <v/>
      </c>
      <c r="H114" s="17">
        <f>IFERROR(IF($C114="","",$F114/(1+INICIO!$C$5)),"")</f>
        <v/>
      </c>
      <c r="I114" s="17">
        <f>IFERROR(IF($C114="","",$D114*INDEX(PRODUCTOS!$D$5:$D$44,MATCH($C114,PRODUCTOS!$B$5:$B$44,0))),"")</f>
        <v/>
      </c>
      <c r="J114" s="30">
        <f>IFERROR(IF($C114="","",$H114-$I114),"")</f>
        <v/>
      </c>
      <c r="K114" s="28" t="n"/>
      <c r="L114" s="28" t="n"/>
    </row>
    <row r="115">
      <c r="A115" s="26" t="n"/>
      <c r="B115" s="27">
        <f>IF($A115="","",TEXT($A115,"YYYY-MM"))</f>
        <v/>
      </c>
      <c r="C115" s="28" t="n"/>
      <c r="D115" s="29" t="n"/>
      <c r="E115" s="17">
        <f>IFERROR(IF($C115="","",INDEX(PRODUCTOS!$E$5:$E$44,MATCH($C115,PRODUCTOS!$B$5:$B$44,0))),"")</f>
        <v/>
      </c>
      <c r="F115" s="17">
        <f>IFERROR(IF($C115="","",$D115*$E115),"")</f>
        <v/>
      </c>
      <c r="G115" s="17">
        <f>IFERROR(IF($C115="","",$F115-$H115),"")</f>
        <v/>
      </c>
      <c r="H115" s="17">
        <f>IFERROR(IF($C115="","",$F115/(1+INICIO!$C$5)),"")</f>
        <v/>
      </c>
      <c r="I115" s="17">
        <f>IFERROR(IF($C115="","",$D115*INDEX(PRODUCTOS!$D$5:$D$44,MATCH($C115,PRODUCTOS!$B$5:$B$44,0))),"")</f>
        <v/>
      </c>
      <c r="J115" s="30">
        <f>IFERROR(IF($C115="","",$H115-$I115),"")</f>
        <v/>
      </c>
      <c r="K115" s="28" t="n"/>
      <c r="L115" s="28" t="n"/>
    </row>
    <row r="116">
      <c r="A116" s="26" t="n"/>
      <c r="B116" s="27">
        <f>IF($A116="","",TEXT($A116,"YYYY-MM"))</f>
        <v/>
      </c>
      <c r="C116" s="28" t="n"/>
      <c r="D116" s="29" t="n"/>
      <c r="E116" s="17">
        <f>IFERROR(IF($C116="","",INDEX(PRODUCTOS!$E$5:$E$44,MATCH($C116,PRODUCTOS!$B$5:$B$44,0))),"")</f>
        <v/>
      </c>
      <c r="F116" s="17">
        <f>IFERROR(IF($C116="","",$D116*$E116),"")</f>
        <v/>
      </c>
      <c r="G116" s="17">
        <f>IFERROR(IF($C116="","",$F116-$H116),"")</f>
        <v/>
      </c>
      <c r="H116" s="17">
        <f>IFERROR(IF($C116="","",$F116/(1+INICIO!$C$5)),"")</f>
        <v/>
      </c>
      <c r="I116" s="17">
        <f>IFERROR(IF($C116="","",$D116*INDEX(PRODUCTOS!$D$5:$D$44,MATCH($C116,PRODUCTOS!$B$5:$B$44,0))),"")</f>
        <v/>
      </c>
      <c r="J116" s="30">
        <f>IFERROR(IF($C116="","",$H116-$I116),"")</f>
        <v/>
      </c>
      <c r="K116" s="28" t="n"/>
      <c r="L116" s="28" t="n"/>
    </row>
    <row r="117">
      <c r="A117" s="26" t="n"/>
      <c r="B117" s="27">
        <f>IF($A117="","",TEXT($A117,"YYYY-MM"))</f>
        <v/>
      </c>
      <c r="C117" s="28" t="n"/>
      <c r="D117" s="29" t="n"/>
      <c r="E117" s="17">
        <f>IFERROR(IF($C117="","",INDEX(PRODUCTOS!$E$5:$E$44,MATCH($C117,PRODUCTOS!$B$5:$B$44,0))),"")</f>
        <v/>
      </c>
      <c r="F117" s="17">
        <f>IFERROR(IF($C117="","",$D117*$E117),"")</f>
        <v/>
      </c>
      <c r="G117" s="17">
        <f>IFERROR(IF($C117="","",$F117-$H117),"")</f>
        <v/>
      </c>
      <c r="H117" s="17">
        <f>IFERROR(IF($C117="","",$F117/(1+INICIO!$C$5)),"")</f>
        <v/>
      </c>
      <c r="I117" s="17">
        <f>IFERROR(IF($C117="","",$D117*INDEX(PRODUCTOS!$D$5:$D$44,MATCH($C117,PRODUCTOS!$B$5:$B$44,0))),"")</f>
        <v/>
      </c>
      <c r="J117" s="30">
        <f>IFERROR(IF($C117="","",$H117-$I117),"")</f>
        <v/>
      </c>
      <c r="K117" s="28" t="n"/>
      <c r="L117" s="28" t="n"/>
    </row>
    <row r="118">
      <c r="A118" s="26" t="n"/>
      <c r="B118" s="27">
        <f>IF($A118="","",TEXT($A118,"YYYY-MM"))</f>
        <v/>
      </c>
      <c r="C118" s="28" t="n"/>
      <c r="D118" s="29" t="n"/>
      <c r="E118" s="17">
        <f>IFERROR(IF($C118="","",INDEX(PRODUCTOS!$E$5:$E$44,MATCH($C118,PRODUCTOS!$B$5:$B$44,0))),"")</f>
        <v/>
      </c>
      <c r="F118" s="17">
        <f>IFERROR(IF($C118="","",$D118*$E118),"")</f>
        <v/>
      </c>
      <c r="G118" s="17">
        <f>IFERROR(IF($C118="","",$F118-$H118),"")</f>
        <v/>
      </c>
      <c r="H118" s="17">
        <f>IFERROR(IF($C118="","",$F118/(1+INICIO!$C$5)),"")</f>
        <v/>
      </c>
      <c r="I118" s="17">
        <f>IFERROR(IF($C118="","",$D118*INDEX(PRODUCTOS!$D$5:$D$44,MATCH($C118,PRODUCTOS!$B$5:$B$44,0))),"")</f>
        <v/>
      </c>
      <c r="J118" s="30">
        <f>IFERROR(IF($C118="","",$H118-$I118),"")</f>
        <v/>
      </c>
      <c r="K118" s="28" t="n"/>
      <c r="L118" s="28" t="n"/>
    </row>
    <row r="119">
      <c r="A119" s="26" t="n"/>
      <c r="B119" s="27">
        <f>IF($A119="","",TEXT($A119,"YYYY-MM"))</f>
        <v/>
      </c>
      <c r="C119" s="28" t="n"/>
      <c r="D119" s="29" t="n"/>
      <c r="E119" s="17">
        <f>IFERROR(IF($C119="","",INDEX(PRODUCTOS!$E$5:$E$44,MATCH($C119,PRODUCTOS!$B$5:$B$44,0))),"")</f>
        <v/>
      </c>
      <c r="F119" s="17">
        <f>IFERROR(IF($C119="","",$D119*$E119),"")</f>
        <v/>
      </c>
      <c r="G119" s="17">
        <f>IFERROR(IF($C119="","",$F119-$H119),"")</f>
        <v/>
      </c>
      <c r="H119" s="17">
        <f>IFERROR(IF($C119="","",$F119/(1+INICIO!$C$5)),"")</f>
        <v/>
      </c>
      <c r="I119" s="17">
        <f>IFERROR(IF($C119="","",$D119*INDEX(PRODUCTOS!$D$5:$D$44,MATCH($C119,PRODUCTOS!$B$5:$B$44,0))),"")</f>
        <v/>
      </c>
      <c r="J119" s="30">
        <f>IFERROR(IF($C119="","",$H119-$I119),"")</f>
        <v/>
      </c>
      <c r="K119" s="28" t="n"/>
      <c r="L119" s="28" t="n"/>
    </row>
    <row r="120">
      <c r="A120" s="26" t="n"/>
      <c r="B120" s="27">
        <f>IF($A120="","",TEXT($A120,"YYYY-MM"))</f>
        <v/>
      </c>
      <c r="C120" s="28" t="n"/>
      <c r="D120" s="29" t="n"/>
      <c r="E120" s="17">
        <f>IFERROR(IF($C120="","",INDEX(PRODUCTOS!$E$5:$E$44,MATCH($C120,PRODUCTOS!$B$5:$B$44,0))),"")</f>
        <v/>
      </c>
      <c r="F120" s="17">
        <f>IFERROR(IF($C120="","",$D120*$E120),"")</f>
        <v/>
      </c>
      <c r="G120" s="17">
        <f>IFERROR(IF($C120="","",$F120-$H120),"")</f>
        <v/>
      </c>
      <c r="H120" s="17">
        <f>IFERROR(IF($C120="","",$F120/(1+INICIO!$C$5)),"")</f>
        <v/>
      </c>
      <c r="I120" s="17">
        <f>IFERROR(IF($C120="","",$D120*INDEX(PRODUCTOS!$D$5:$D$44,MATCH($C120,PRODUCTOS!$B$5:$B$44,0))),"")</f>
        <v/>
      </c>
      <c r="J120" s="30">
        <f>IFERROR(IF($C120="","",$H120-$I120),"")</f>
        <v/>
      </c>
      <c r="K120" s="28" t="n"/>
      <c r="L120" s="28" t="n"/>
    </row>
    <row r="121">
      <c r="A121" s="26" t="n"/>
      <c r="B121" s="27">
        <f>IF($A121="","",TEXT($A121,"YYYY-MM"))</f>
        <v/>
      </c>
      <c r="C121" s="28" t="n"/>
      <c r="D121" s="29" t="n"/>
      <c r="E121" s="17">
        <f>IFERROR(IF($C121="","",INDEX(PRODUCTOS!$E$5:$E$44,MATCH($C121,PRODUCTOS!$B$5:$B$44,0))),"")</f>
        <v/>
      </c>
      <c r="F121" s="17">
        <f>IFERROR(IF($C121="","",$D121*$E121),"")</f>
        <v/>
      </c>
      <c r="G121" s="17">
        <f>IFERROR(IF($C121="","",$F121-$H121),"")</f>
        <v/>
      </c>
      <c r="H121" s="17">
        <f>IFERROR(IF($C121="","",$F121/(1+INICIO!$C$5)),"")</f>
        <v/>
      </c>
      <c r="I121" s="17">
        <f>IFERROR(IF($C121="","",$D121*INDEX(PRODUCTOS!$D$5:$D$44,MATCH($C121,PRODUCTOS!$B$5:$B$44,0))),"")</f>
        <v/>
      </c>
      <c r="J121" s="30">
        <f>IFERROR(IF($C121="","",$H121-$I121),"")</f>
        <v/>
      </c>
      <c r="K121" s="28" t="n"/>
      <c r="L121" s="28" t="n"/>
    </row>
    <row r="122">
      <c r="A122" s="26" t="n"/>
      <c r="B122" s="27">
        <f>IF($A122="","",TEXT($A122,"YYYY-MM"))</f>
        <v/>
      </c>
      <c r="C122" s="28" t="n"/>
      <c r="D122" s="29" t="n"/>
      <c r="E122" s="17">
        <f>IFERROR(IF($C122="","",INDEX(PRODUCTOS!$E$5:$E$44,MATCH($C122,PRODUCTOS!$B$5:$B$44,0))),"")</f>
        <v/>
      </c>
      <c r="F122" s="17">
        <f>IFERROR(IF($C122="","",$D122*$E122),"")</f>
        <v/>
      </c>
      <c r="G122" s="17">
        <f>IFERROR(IF($C122="","",$F122-$H122),"")</f>
        <v/>
      </c>
      <c r="H122" s="17">
        <f>IFERROR(IF($C122="","",$F122/(1+INICIO!$C$5)),"")</f>
        <v/>
      </c>
      <c r="I122" s="17">
        <f>IFERROR(IF($C122="","",$D122*INDEX(PRODUCTOS!$D$5:$D$44,MATCH($C122,PRODUCTOS!$B$5:$B$44,0))),"")</f>
        <v/>
      </c>
      <c r="J122" s="30">
        <f>IFERROR(IF($C122="","",$H122-$I122),"")</f>
        <v/>
      </c>
      <c r="K122" s="28" t="n"/>
      <c r="L122" s="28" t="n"/>
    </row>
    <row r="123">
      <c r="A123" s="26" t="n"/>
      <c r="B123" s="27">
        <f>IF($A123="","",TEXT($A123,"YYYY-MM"))</f>
        <v/>
      </c>
      <c r="C123" s="28" t="n"/>
      <c r="D123" s="29" t="n"/>
      <c r="E123" s="17">
        <f>IFERROR(IF($C123="","",INDEX(PRODUCTOS!$E$5:$E$44,MATCH($C123,PRODUCTOS!$B$5:$B$44,0))),"")</f>
        <v/>
      </c>
      <c r="F123" s="17">
        <f>IFERROR(IF($C123="","",$D123*$E123),"")</f>
        <v/>
      </c>
      <c r="G123" s="17">
        <f>IFERROR(IF($C123="","",$F123-$H123),"")</f>
        <v/>
      </c>
      <c r="H123" s="17">
        <f>IFERROR(IF($C123="","",$F123/(1+INICIO!$C$5)),"")</f>
        <v/>
      </c>
      <c r="I123" s="17">
        <f>IFERROR(IF($C123="","",$D123*INDEX(PRODUCTOS!$D$5:$D$44,MATCH($C123,PRODUCTOS!$B$5:$B$44,0))),"")</f>
        <v/>
      </c>
      <c r="J123" s="30">
        <f>IFERROR(IF($C123="","",$H123-$I123),"")</f>
        <v/>
      </c>
      <c r="K123" s="28" t="n"/>
      <c r="L123" s="28" t="n"/>
    </row>
    <row r="124">
      <c r="A124" s="26" t="n"/>
      <c r="B124" s="27">
        <f>IF($A124="","",TEXT($A124,"YYYY-MM"))</f>
        <v/>
      </c>
      <c r="C124" s="28" t="n"/>
      <c r="D124" s="29" t="n"/>
      <c r="E124" s="17">
        <f>IFERROR(IF($C124="","",INDEX(PRODUCTOS!$E$5:$E$44,MATCH($C124,PRODUCTOS!$B$5:$B$44,0))),"")</f>
        <v/>
      </c>
      <c r="F124" s="17">
        <f>IFERROR(IF($C124="","",$D124*$E124),"")</f>
        <v/>
      </c>
      <c r="G124" s="17">
        <f>IFERROR(IF($C124="","",$F124-$H124),"")</f>
        <v/>
      </c>
      <c r="H124" s="17">
        <f>IFERROR(IF($C124="","",$F124/(1+INICIO!$C$5)),"")</f>
        <v/>
      </c>
      <c r="I124" s="17">
        <f>IFERROR(IF($C124="","",$D124*INDEX(PRODUCTOS!$D$5:$D$44,MATCH($C124,PRODUCTOS!$B$5:$B$44,0))),"")</f>
        <v/>
      </c>
      <c r="J124" s="30">
        <f>IFERROR(IF($C124="","",$H124-$I124),"")</f>
        <v/>
      </c>
      <c r="K124" s="28" t="n"/>
      <c r="L124" s="28" t="n"/>
    </row>
    <row r="125">
      <c r="A125" s="26" t="n"/>
      <c r="B125" s="27">
        <f>IF($A125="","",TEXT($A125,"YYYY-MM"))</f>
        <v/>
      </c>
      <c r="C125" s="28" t="n"/>
      <c r="D125" s="29" t="n"/>
      <c r="E125" s="17">
        <f>IFERROR(IF($C125="","",INDEX(PRODUCTOS!$E$5:$E$44,MATCH($C125,PRODUCTOS!$B$5:$B$44,0))),"")</f>
        <v/>
      </c>
      <c r="F125" s="17">
        <f>IFERROR(IF($C125="","",$D125*$E125),"")</f>
        <v/>
      </c>
      <c r="G125" s="17">
        <f>IFERROR(IF($C125="","",$F125-$H125),"")</f>
        <v/>
      </c>
      <c r="H125" s="17">
        <f>IFERROR(IF($C125="","",$F125/(1+INICIO!$C$5)),"")</f>
        <v/>
      </c>
      <c r="I125" s="17">
        <f>IFERROR(IF($C125="","",$D125*INDEX(PRODUCTOS!$D$5:$D$44,MATCH($C125,PRODUCTOS!$B$5:$B$44,0))),"")</f>
        <v/>
      </c>
      <c r="J125" s="30">
        <f>IFERROR(IF($C125="","",$H125-$I125),"")</f>
        <v/>
      </c>
      <c r="K125" s="28" t="n"/>
      <c r="L125" s="28" t="n"/>
    </row>
    <row r="126">
      <c r="A126" s="26" t="n"/>
      <c r="B126" s="27">
        <f>IF($A126="","",TEXT($A126,"YYYY-MM"))</f>
        <v/>
      </c>
      <c r="C126" s="28" t="n"/>
      <c r="D126" s="29" t="n"/>
      <c r="E126" s="17">
        <f>IFERROR(IF($C126="","",INDEX(PRODUCTOS!$E$5:$E$44,MATCH($C126,PRODUCTOS!$B$5:$B$44,0))),"")</f>
        <v/>
      </c>
      <c r="F126" s="17">
        <f>IFERROR(IF($C126="","",$D126*$E126),"")</f>
        <v/>
      </c>
      <c r="G126" s="17">
        <f>IFERROR(IF($C126="","",$F126-$H126),"")</f>
        <v/>
      </c>
      <c r="H126" s="17">
        <f>IFERROR(IF($C126="","",$F126/(1+INICIO!$C$5)),"")</f>
        <v/>
      </c>
      <c r="I126" s="17">
        <f>IFERROR(IF($C126="","",$D126*INDEX(PRODUCTOS!$D$5:$D$44,MATCH($C126,PRODUCTOS!$B$5:$B$44,0))),"")</f>
        <v/>
      </c>
      <c r="J126" s="30">
        <f>IFERROR(IF($C126="","",$H126-$I126),"")</f>
        <v/>
      </c>
      <c r="K126" s="28" t="n"/>
      <c r="L126" s="28" t="n"/>
    </row>
    <row r="127">
      <c r="A127" s="26" t="n"/>
      <c r="B127" s="27">
        <f>IF($A127="","",TEXT($A127,"YYYY-MM"))</f>
        <v/>
      </c>
      <c r="C127" s="28" t="n"/>
      <c r="D127" s="29" t="n"/>
      <c r="E127" s="17">
        <f>IFERROR(IF($C127="","",INDEX(PRODUCTOS!$E$5:$E$44,MATCH($C127,PRODUCTOS!$B$5:$B$44,0))),"")</f>
        <v/>
      </c>
      <c r="F127" s="17">
        <f>IFERROR(IF($C127="","",$D127*$E127),"")</f>
        <v/>
      </c>
      <c r="G127" s="17">
        <f>IFERROR(IF($C127="","",$F127-$H127),"")</f>
        <v/>
      </c>
      <c r="H127" s="17">
        <f>IFERROR(IF($C127="","",$F127/(1+INICIO!$C$5)),"")</f>
        <v/>
      </c>
      <c r="I127" s="17">
        <f>IFERROR(IF($C127="","",$D127*INDEX(PRODUCTOS!$D$5:$D$44,MATCH($C127,PRODUCTOS!$B$5:$B$44,0))),"")</f>
        <v/>
      </c>
      <c r="J127" s="30">
        <f>IFERROR(IF($C127="","",$H127-$I127),"")</f>
        <v/>
      </c>
      <c r="K127" s="28" t="n"/>
      <c r="L127" s="28" t="n"/>
    </row>
    <row r="128">
      <c r="A128" s="26" t="n"/>
      <c r="B128" s="27">
        <f>IF($A128="","",TEXT($A128,"YYYY-MM"))</f>
        <v/>
      </c>
      <c r="C128" s="28" t="n"/>
      <c r="D128" s="29" t="n"/>
      <c r="E128" s="17">
        <f>IFERROR(IF($C128="","",INDEX(PRODUCTOS!$E$5:$E$44,MATCH($C128,PRODUCTOS!$B$5:$B$44,0))),"")</f>
        <v/>
      </c>
      <c r="F128" s="17">
        <f>IFERROR(IF($C128="","",$D128*$E128),"")</f>
        <v/>
      </c>
      <c r="G128" s="17">
        <f>IFERROR(IF($C128="","",$F128-$H128),"")</f>
        <v/>
      </c>
      <c r="H128" s="17">
        <f>IFERROR(IF($C128="","",$F128/(1+INICIO!$C$5)),"")</f>
        <v/>
      </c>
      <c r="I128" s="17">
        <f>IFERROR(IF($C128="","",$D128*INDEX(PRODUCTOS!$D$5:$D$44,MATCH($C128,PRODUCTOS!$B$5:$B$44,0))),"")</f>
        <v/>
      </c>
      <c r="J128" s="30">
        <f>IFERROR(IF($C128="","",$H128-$I128),"")</f>
        <v/>
      </c>
      <c r="K128" s="28" t="n"/>
      <c r="L128" s="28" t="n"/>
    </row>
    <row r="129">
      <c r="A129" s="26" t="n"/>
      <c r="B129" s="27">
        <f>IF($A129="","",TEXT($A129,"YYYY-MM"))</f>
        <v/>
      </c>
      <c r="C129" s="28" t="n"/>
      <c r="D129" s="29" t="n"/>
      <c r="E129" s="17">
        <f>IFERROR(IF($C129="","",INDEX(PRODUCTOS!$E$5:$E$44,MATCH($C129,PRODUCTOS!$B$5:$B$44,0))),"")</f>
        <v/>
      </c>
      <c r="F129" s="17">
        <f>IFERROR(IF($C129="","",$D129*$E129),"")</f>
        <v/>
      </c>
      <c r="G129" s="17">
        <f>IFERROR(IF($C129="","",$F129-$H129),"")</f>
        <v/>
      </c>
      <c r="H129" s="17">
        <f>IFERROR(IF($C129="","",$F129/(1+INICIO!$C$5)),"")</f>
        <v/>
      </c>
      <c r="I129" s="17">
        <f>IFERROR(IF($C129="","",$D129*INDEX(PRODUCTOS!$D$5:$D$44,MATCH($C129,PRODUCTOS!$B$5:$B$44,0))),"")</f>
        <v/>
      </c>
      <c r="J129" s="30">
        <f>IFERROR(IF($C129="","",$H129-$I129),"")</f>
        <v/>
      </c>
      <c r="K129" s="28" t="n"/>
      <c r="L129" s="28" t="n"/>
    </row>
    <row r="130">
      <c r="A130" s="26" t="n"/>
      <c r="B130" s="27">
        <f>IF($A130="","",TEXT($A130,"YYYY-MM"))</f>
        <v/>
      </c>
      <c r="C130" s="28" t="n"/>
      <c r="D130" s="29" t="n"/>
      <c r="E130" s="17">
        <f>IFERROR(IF($C130="","",INDEX(PRODUCTOS!$E$5:$E$44,MATCH($C130,PRODUCTOS!$B$5:$B$44,0))),"")</f>
        <v/>
      </c>
      <c r="F130" s="17">
        <f>IFERROR(IF($C130="","",$D130*$E130),"")</f>
        <v/>
      </c>
      <c r="G130" s="17">
        <f>IFERROR(IF($C130="","",$F130-$H130),"")</f>
        <v/>
      </c>
      <c r="H130" s="17">
        <f>IFERROR(IF($C130="","",$F130/(1+INICIO!$C$5)),"")</f>
        <v/>
      </c>
      <c r="I130" s="17">
        <f>IFERROR(IF($C130="","",$D130*INDEX(PRODUCTOS!$D$5:$D$44,MATCH($C130,PRODUCTOS!$B$5:$B$44,0))),"")</f>
        <v/>
      </c>
      <c r="J130" s="30">
        <f>IFERROR(IF($C130="","",$H130-$I130),"")</f>
        <v/>
      </c>
      <c r="K130" s="28" t="n"/>
      <c r="L130" s="28" t="n"/>
    </row>
    <row r="131">
      <c r="A131" s="26" t="n"/>
      <c r="B131" s="27">
        <f>IF($A131="","",TEXT($A131,"YYYY-MM"))</f>
        <v/>
      </c>
      <c r="C131" s="28" t="n"/>
      <c r="D131" s="29" t="n"/>
      <c r="E131" s="17">
        <f>IFERROR(IF($C131="","",INDEX(PRODUCTOS!$E$5:$E$44,MATCH($C131,PRODUCTOS!$B$5:$B$44,0))),"")</f>
        <v/>
      </c>
      <c r="F131" s="17">
        <f>IFERROR(IF($C131="","",$D131*$E131),"")</f>
        <v/>
      </c>
      <c r="G131" s="17">
        <f>IFERROR(IF($C131="","",$F131-$H131),"")</f>
        <v/>
      </c>
      <c r="H131" s="17">
        <f>IFERROR(IF($C131="","",$F131/(1+INICIO!$C$5)),"")</f>
        <v/>
      </c>
      <c r="I131" s="17">
        <f>IFERROR(IF($C131="","",$D131*INDEX(PRODUCTOS!$D$5:$D$44,MATCH($C131,PRODUCTOS!$B$5:$B$44,0))),"")</f>
        <v/>
      </c>
      <c r="J131" s="30">
        <f>IFERROR(IF($C131="","",$H131-$I131),"")</f>
        <v/>
      </c>
      <c r="K131" s="28" t="n"/>
      <c r="L131" s="28" t="n"/>
    </row>
    <row r="132">
      <c r="A132" s="26" t="n"/>
      <c r="B132" s="27">
        <f>IF($A132="","",TEXT($A132,"YYYY-MM"))</f>
        <v/>
      </c>
      <c r="C132" s="28" t="n"/>
      <c r="D132" s="29" t="n"/>
      <c r="E132" s="17">
        <f>IFERROR(IF($C132="","",INDEX(PRODUCTOS!$E$5:$E$44,MATCH($C132,PRODUCTOS!$B$5:$B$44,0))),"")</f>
        <v/>
      </c>
      <c r="F132" s="17">
        <f>IFERROR(IF($C132="","",$D132*$E132),"")</f>
        <v/>
      </c>
      <c r="G132" s="17">
        <f>IFERROR(IF($C132="","",$F132-$H132),"")</f>
        <v/>
      </c>
      <c r="H132" s="17">
        <f>IFERROR(IF($C132="","",$F132/(1+INICIO!$C$5)),"")</f>
        <v/>
      </c>
      <c r="I132" s="17">
        <f>IFERROR(IF($C132="","",$D132*INDEX(PRODUCTOS!$D$5:$D$44,MATCH($C132,PRODUCTOS!$B$5:$B$44,0))),"")</f>
        <v/>
      </c>
      <c r="J132" s="30">
        <f>IFERROR(IF($C132="","",$H132-$I132),"")</f>
        <v/>
      </c>
      <c r="K132" s="28" t="n"/>
      <c r="L132" s="28" t="n"/>
    </row>
    <row r="133">
      <c r="A133" s="26" t="n"/>
      <c r="B133" s="27">
        <f>IF($A133="","",TEXT($A133,"YYYY-MM"))</f>
        <v/>
      </c>
      <c r="C133" s="28" t="n"/>
      <c r="D133" s="29" t="n"/>
      <c r="E133" s="17">
        <f>IFERROR(IF($C133="","",INDEX(PRODUCTOS!$E$5:$E$44,MATCH($C133,PRODUCTOS!$B$5:$B$44,0))),"")</f>
        <v/>
      </c>
      <c r="F133" s="17">
        <f>IFERROR(IF($C133="","",$D133*$E133),"")</f>
        <v/>
      </c>
      <c r="G133" s="17">
        <f>IFERROR(IF($C133="","",$F133-$H133),"")</f>
        <v/>
      </c>
      <c r="H133" s="17">
        <f>IFERROR(IF($C133="","",$F133/(1+INICIO!$C$5)),"")</f>
        <v/>
      </c>
      <c r="I133" s="17">
        <f>IFERROR(IF($C133="","",$D133*INDEX(PRODUCTOS!$D$5:$D$44,MATCH($C133,PRODUCTOS!$B$5:$B$44,0))),"")</f>
        <v/>
      </c>
      <c r="J133" s="30">
        <f>IFERROR(IF($C133="","",$H133-$I133),"")</f>
        <v/>
      </c>
      <c r="K133" s="28" t="n"/>
      <c r="L133" s="28" t="n"/>
    </row>
    <row r="134">
      <c r="A134" s="26" t="n"/>
      <c r="B134" s="27">
        <f>IF($A134="","",TEXT($A134,"YYYY-MM"))</f>
        <v/>
      </c>
      <c r="C134" s="28" t="n"/>
      <c r="D134" s="29" t="n"/>
      <c r="E134" s="17">
        <f>IFERROR(IF($C134="","",INDEX(PRODUCTOS!$E$5:$E$44,MATCH($C134,PRODUCTOS!$B$5:$B$44,0))),"")</f>
        <v/>
      </c>
      <c r="F134" s="17">
        <f>IFERROR(IF($C134="","",$D134*$E134),"")</f>
        <v/>
      </c>
      <c r="G134" s="17">
        <f>IFERROR(IF($C134="","",$F134-$H134),"")</f>
        <v/>
      </c>
      <c r="H134" s="17">
        <f>IFERROR(IF($C134="","",$F134/(1+INICIO!$C$5)),"")</f>
        <v/>
      </c>
      <c r="I134" s="17">
        <f>IFERROR(IF($C134="","",$D134*INDEX(PRODUCTOS!$D$5:$D$44,MATCH($C134,PRODUCTOS!$B$5:$B$44,0))),"")</f>
        <v/>
      </c>
      <c r="J134" s="30">
        <f>IFERROR(IF($C134="","",$H134-$I134),"")</f>
        <v/>
      </c>
      <c r="K134" s="28" t="n"/>
      <c r="L134" s="28" t="n"/>
    </row>
    <row r="135">
      <c r="A135" s="26" t="n"/>
      <c r="B135" s="27">
        <f>IF($A135="","",TEXT($A135,"YYYY-MM"))</f>
        <v/>
      </c>
      <c r="C135" s="28" t="n"/>
      <c r="D135" s="29" t="n"/>
      <c r="E135" s="17">
        <f>IFERROR(IF($C135="","",INDEX(PRODUCTOS!$E$5:$E$44,MATCH($C135,PRODUCTOS!$B$5:$B$44,0))),"")</f>
        <v/>
      </c>
      <c r="F135" s="17">
        <f>IFERROR(IF($C135="","",$D135*$E135),"")</f>
        <v/>
      </c>
      <c r="G135" s="17">
        <f>IFERROR(IF($C135="","",$F135-$H135),"")</f>
        <v/>
      </c>
      <c r="H135" s="17">
        <f>IFERROR(IF($C135="","",$F135/(1+INICIO!$C$5)),"")</f>
        <v/>
      </c>
      <c r="I135" s="17">
        <f>IFERROR(IF($C135="","",$D135*INDEX(PRODUCTOS!$D$5:$D$44,MATCH($C135,PRODUCTOS!$B$5:$B$44,0))),"")</f>
        <v/>
      </c>
      <c r="J135" s="30">
        <f>IFERROR(IF($C135="","",$H135-$I135),"")</f>
        <v/>
      </c>
      <c r="K135" s="28" t="n"/>
      <c r="L135" s="28" t="n"/>
    </row>
    <row r="136">
      <c r="A136" s="26" t="n"/>
      <c r="B136" s="27">
        <f>IF($A136="","",TEXT($A136,"YYYY-MM"))</f>
        <v/>
      </c>
      <c r="C136" s="28" t="n"/>
      <c r="D136" s="29" t="n"/>
      <c r="E136" s="17">
        <f>IFERROR(IF($C136="","",INDEX(PRODUCTOS!$E$5:$E$44,MATCH($C136,PRODUCTOS!$B$5:$B$44,0))),"")</f>
        <v/>
      </c>
      <c r="F136" s="17">
        <f>IFERROR(IF($C136="","",$D136*$E136),"")</f>
        <v/>
      </c>
      <c r="G136" s="17">
        <f>IFERROR(IF($C136="","",$F136-$H136),"")</f>
        <v/>
      </c>
      <c r="H136" s="17">
        <f>IFERROR(IF($C136="","",$F136/(1+INICIO!$C$5)),"")</f>
        <v/>
      </c>
      <c r="I136" s="17">
        <f>IFERROR(IF($C136="","",$D136*INDEX(PRODUCTOS!$D$5:$D$44,MATCH($C136,PRODUCTOS!$B$5:$B$44,0))),"")</f>
        <v/>
      </c>
      <c r="J136" s="30">
        <f>IFERROR(IF($C136="","",$H136-$I136),"")</f>
        <v/>
      </c>
      <c r="K136" s="28" t="n"/>
      <c r="L136" s="28" t="n"/>
    </row>
    <row r="137">
      <c r="A137" s="26" t="n"/>
      <c r="B137" s="27">
        <f>IF($A137="","",TEXT($A137,"YYYY-MM"))</f>
        <v/>
      </c>
      <c r="C137" s="28" t="n"/>
      <c r="D137" s="29" t="n"/>
      <c r="E137" s="17">
        <f>IFERROR(IF($C137="","",INDEX(PRODUCTOS!$E$5:$E$44,MATCH($C137,PRODUCTOS!$B$5:$B$44,0))),"")</f>
        <v/>
      </c>
      <c r="F137" s="17">
        <f>IFERROR(IF($C137="","",$D137*$E137),"")</f>
        <v/>
      </c>
      <c r="G137" s="17">
        <f>IFERROR(IF($C137="","",$F137-$H137),"")</f>
        <v/>
      </c>
      <c r="H137" s="17">
        <f>IFERROR(IF($C137="","",$F137/(1+INICIO!$C$5)),"")</f>
        <v/>
      </c>
      <c r="I137" s="17">
        <f>IFERROR(IF($C137="","",$D137*INDEX(PRODUCTOS!$D$5:$D$44,MATCH($C137,PRODUCTOS!$B$5:$B$44,0))),"")</f>
        <v/>
      </c>
      <c r="J137" s="30">
        <f>IFERROR(IF($C137="","",$H137-$I137),"")</f>
        <v/>
      </c>
      <c r="K137" s="28" t="n"/>
      <c r="L137" s="28" t="n"/>
    </row>
    <row r="138">
      <c r="A138" s="26" t="n"/>
      <c r="B138" s="27">
        <f>IF($A138="","",TEXT($A138,"YYYY-MM"))</f>
        <v/>
      </c>
      <c r="C138" s="28" t="n"/>
      <c r="D138" s="29" t="n"/>
      <c r="E138" s="17">
        <f>IFERROR(IF($C138="","",INDEX(PRODUCTOS!$E$5:$E$44,MATCH($C138,PRODUCTOS!$B$5:$B$44,0))),"")</f>
        <v/>
      </c>
      <c r="F138" s="17">
        <f>IFERROR(IF($C138="","",$D138*$E138),"")</f>
        <v/>
      </c>
      <c r="G138" s="17">
        <f>IFERROR(IF($C138="","",$F138-$H138),"")</f>
        <v/>
      </c>
      <c r="H138" s="17">
        <f>IFERROR(IF($C138="","",$F138/(1+INICIO!$C$5)),"")</f>
        <v/>
      </c>
      <c r="I138" s="17">
        <f>IFERROR(IF($C138="","",$D138*INDEX(PRODUCTOS!$D$5:$D$44,MATCH($C138,PRODUCTOS!$B$5:$B$44,0))),"")</f>
        <v/>
      </c>
      <c r="J138" s="30">
        <f>IFERROR(IF($C138="","",$H138-$I138),"")</f>
        <v/>
      </c>
      <c r="K138" s="28" t="n"/>
      <c r="L138" s="28" t="n"/>
    </row>
    <row r="139">
      <c r="A139" s="26" t="n"/>
      <c r="B139" s="27">
        <f>IF($A139="","",TEXT($A139,"YYYY-MM"))</f>
        <v/>
      </c>
      <c r="C139" s="28" t="n"/>
      <c r="D139" s="29" t="n"/>
      <c r="E139" s="17">
        <f>IFERROR(IF($C139="","",INDEX(PRODUCTOS!$E$5:$E$44,MATCH($C139,PRODUCTOS!$B$5:$B$44,0))),"")</f>
        <v/>
      </c>
      <c r="F139" s="17">
        <f>IFERROR(IF($C139="","",$D139*$E139),"")</f>
        <v/>
      </c>
      <c r="G139" s="17">
        <f>IFERROR(IF($C139="","",$F139-$H139),"")</f>
        <v/>
      </c>
      <c r="H139" s="17">
        <f>IFERROR(IF($C139="","",$F139/(1+INICIO!$C$5)),"")</f>
        <v/>
      </c>
      <c r="I139" s="17">
        <f>IFERROR(IF($C139="","",$D139*INDEX(PRODUCTOS!$D$5:$D$44,MATCH($C139,PRODUCTOS!$B$5:$B$44,0))),"")</f>
        <v/>
      </c>
      <c r="J139" s="30">
        <f>IFERROR(IF($C139="","",$H139-$I139),"")</f>
        <v/>
      </c>
      <c r="K139" s="28" t="n"/>
      <c r="L139" s="28" t="n"/>
    </row>
    <row r="140">
      <c r="A140" s="26" t="n"/>
      <c r="B140" s="27">
        <f>IF($A140="","",TEXT($A140,"YYYY-MM"))</f>
        <v/>
      </c>
      <c r="C140" s="28" t="n"/>
      <c r="D140" s="29" t="n"/>
      <c r="E140" s="17">
        <f>IFERROR(IF($C140="","",INDEX(PRODUCTOS!$E$5:$E$44,MATCH($C140,PRODUCTOS!$B$5:$B$44,0))),"")</f>
        <v/>
      </c>
      <c r="F140" s="17">
        <f>IFERROR(IF($C140="","",$D140*$E140),"")</f>
        <v/>
      </c>
      <c r="G140" s="17">
        <f>IFERROR(IF($C140="","",$F140-$H140),"")</f>
        <v/>
      </c>
      <c r="H140" s="17">
        <f>IFERROR(IF($C140="","",$F140/(1+INICIO!$C$5)),"")</f>
        <v/>
      </c>
      <c r="I140" s="17">
        <f>IFERROR(IF($C140="","",$D140*INDEX(PRODUCTOS!$D$5:$D$44,MATCH($C140,PRODUCTOS!$B$5:$B$44,0))),"")</f>
        <v/>
      </c>
      <c r="J140" s="30">
        <f>IFERROR(IF($C140="","",$H140-$I140),"")</f>
        <v/>
      </c>
      <c r="K140" s="28" t="n"/>
      <c r="L140" s="28" t="n"/>
    </row>
    <row r="141">
      <c r="A141" s="26" t="n"/>
      <c r="B141" s="27">
        <f>IF($A141="","",TEXT($A141,"YYYY-MM"))</f>
        <v/>
      </c>
      <c r="C141" s="28" t="n"/>
      <c r="D141" s="29" t="n"/>
      <c r="E141" s="17">
        <f>IFERROR(IF($C141="","",INDEX(PRODUCTOS!$E$5:$E$44,MATCH($C141,PRODUCTOS!$B$5:$B$44,0))),"")</f>
        <v/>
      </c>
      <c r="F141" s="17">
        <f>IFERROR(IF($C141="","",$D141*$E141),"")</f>
        <v/>
      </c>
      <c r="G141" s="17">
        <f>IFERROR(IF($C141="","",$F141-$H141),"")</f>
        <v/>
      </c>
      <c r="H141" s="17">
        <f>IFERROR(IF($C141="","",$F141/(1+INICIO!$C$5)),"")</f>
        <v/>
      </c>
      <c r="I141" s="17">
        <f>IFERROR(IF($C141="","",$D141*INDEX(PRODUCTOS!$D$5:$D$44,MATCH($C141,PRODUCTOS!$B$5:$B$44,0))),"")</f>
        <v/>
      </c>
      <c r="J141" s="30">
        <f>IFERROR(IF($C141="","",$H141-$I141),"")</f>
        <v/>
      </c>
      <c r="K141" s="28" t="n"/>
      <c r="L141" s="28" t="n"/>
    </row>
    <row r="142">
      <c r="A142" s="26" t="n"/>
      <c r="B142" s="27">
        <f>IF($A142="","",TEXT($A142,"YYYY-MM"))</f>
        <v/>
      </c>
      <c r="C142" s="28" t="n"/>
      <c r="D142" s="29" t="n"/>
      <c r="E142" s="17">
        <f>IFERROR(IF($C142="","",INDEX(PRODUCTOS!$E$5:$E$44,MATCH($C142,PRODUCTOS!$B$5:$B$44,0))),"")</f>
        <v/>
      </c>
      <c r="F142" s="17">
        <f>IFERROR(IF($C142="","",$D142*$E142),"")</f>
        <v/>
      </c>
      <c r="G142" s="17">
        <f>IFERROR(IF($C142="","",$F142-$H142),"")</f>
        <v/>
      </c>
      <c r="H142" s="17">
        <f>IFERROR(IF($C142="","",$F142/(1+INICIO!$C$5)),"")</f>
        <v/>
      </c>
      <c r="I142" s="17">
        <f>IFERROR(IF($C142="","",$D142*INDEX(PRODUCTOS!$D$5:$D$44,MATCH($C142,PRODUCTOS!$B$5:$B$44,0))),"")</f>
        <v/>
      </c>
      <c r="J142" s="30">
        <f>IFERROR(IF($C142="","",$H142-$I142),"")</f>
        <v/>
      </c>
      <c r="K142" s="28" t="n"/>
      <c r="L142" s="28" t="n"/>
    </row>
    <row r="143">
      <c r="A143" s="26" t="n"/>
      <c r="B143" s="27">
        <f>IF($A143="","",TEXT($A143,"YYYY-MM"))</f>
        <v/>
      </c>
      <c r="C143" s="28" t="n"/>
      <c r="D143" s="29" t="n"/>
      <c r="E143" s="17">
        <f>IFERROR(IF($C143="","",INDEX(PRODUCTOS!$E$5:$E$44,MATCH($C143,PRODUCTOS!$B$5:$B$44,0))),"")</f>
        <v/>
      </c>
      <c r="F143" s="17">
        <f>IFERROR(IF($C143="","",$D143*$E143),"")</f>
        <v/>
      </c>
      <c r="G143" s="17">
        <f>IFERROR(IF($C143="","",$F143-$H143),"")</f>
        <v/>
      </c>
      <c r="H143" s="17">
        <f>IFERROR(IF($C143="","",$F143/(1+INICIO!$C$5)),"")</f>
        <v/>
      </c>
      <c r="I143" s="17">
        <f>IFERROR(IF($C143="","",$D143*INDEX(PRODUCTOS!$D$5:$D$44,MATCH($C143,PRODUCTOS!$B$5:$B$44,0))),"")</f>
        <v/>
      </c>
      <c r="J143" s="30">
        <f>IFERROR(IF($C143="","",$H143-$I143),"")</f>
        <v/>
      </c>
      <c r="K143" s="28" t="n"/>
      <c r="L143" s="28" t="n"/>
    </row>
    <row r="144">
      <c r="A144" s="26" t="n"/>
      <c r="B144" s="27">
        <f>IF($A144="","",TEXT($A144,"YYYY-MM"))</f>
        <v/>
      </c>
      <c r="C144" s="28" t="n"/>
      <c r="D144" s="29" t="n"/>
      <c r="E144" s="17">
        <f>IFERROR(IF($C144="","",INDEX(PRODUCTOS!$E$5:$E$44,MATCH($C144,PRODUCTOS!$B$5:$B$44,0))),"")</f>
        <v/>
      </c>
      <c r="F144" s="17">
        <f>IFERROR(IF($C144="","",$D144*$E144),"")</f>
        <v/>
      </c>
      <c r="G144" s="17">
        <f>IFERROR(IF($C144="","",$F144-$H144),"")</f>
        <v/>
      </c>
      <c r="H144" s="17">
        <f>IFERROR(IF($C144="","",$F144/(1+INICIO!$C$5)),"")</f>
        <v/>
      </c>
      <c r="I144" s="17">
        <f>IFERROR(IF($C144="","",$D144*INDEX(PRODUCTOS!$D$5:$D$44,MATCH($C144,PRODUCTOS!$B$5:$B$44,0))),"")</f>
        <v/>
      </c>
      <c r="J144" s="30">
        <f>IFERROR(IF($C144="","",$H144-$I144),"")</f>
        <v/>
      </c>
      <c r="K144" s="28" t="n"/>
      <c r="L144" s="28" t="n"/>
    </row>
    <row r="145">
      <c r="A145" s="26" t="n"/>
      <c r="B145" s="27">
        <f>IF($A145="","",TEXT($A145,"YYYY-MM"))</f>
        <v/>
      </c>
      <c r="C145" s="28" t="n"/>
      <c r="D145" s="29" t="n"/>
      <c r="E145" s="17">
        <f>IFERROR(IF($C145="","",INDEX(PRODUCTOS!$E$5:$E$44,MATCH($C145,PRODUCTOS!$B$5:$B$44,0))),"")</f>
        <v/>
      </c>
      <c r="F145" s="17">
        <f>IFERROR(IF($C145="","",$D145*$E145),"")</f>
        <v/>
      </c>
      <c r="G145" s="17">
        <f>IFERROR(IF($C145="","",$F145-$H145),"")</f>
        <v/>
      </c>
      <c r="H145" s="17">
        <f>IFERROR(IF($C145="","",$F145/(1+INICIO!$C$5)),"")</f>
        <v/>
      </c>
      <c r="I145" s="17">
        <f>IFERROR(IF($C145="","",$D145*INDEX(PRODUCTOS!$D$5:$D$44,MATCH($C145,PRODUCTOS!$B$5:$B$44,0))),"")</f>
        <v/>
      </c>
      <c r="J145" s="30">
        <f>IFERROR(IF($C145="","",$H145-$I145),"")</f>
        <v/>
      </c>
      <c r="K145" s="28" t="n"/>
      <c r="L145" s="28" t="n"/>
    </row>
    <row r="146">
      <c r="A146" s="26" t="n"/>
      <c r="B146" s="27">
        <f>IF($A146="","",TEXT($A146,"YYYY-MM"))</f>
        <v/>
      </c>
      <c r="C146" s="28" t="n"/>
      <c r="D146" s="29" t="n"/>
      <c r="E146" s="17">
        <f>IFERROR(IF($C146="","",INDEX(PRODUCTOS!$E$5:$E$44,MATCH($C146,PRODUCTOS!$B$5:$B$44,0))),"")</f>
        <v/>
      </c>
      <c r="F146" s="17">
        <f>IFERROR(IF($C146="","",$D146*$E146),"")</f>
        <v/>
      </c>
      <c r="G146" s="17">
        <f>IFERROR(IF($C146="","",$F146-$H146),"")</f>
        <v/>
      </c>
      <c r="H146" s="17">
        <f>IFERROR(IF($C146="","",$F146/(1+INICIO!$C$5)),"")</f>
        <v/>
      </c>
      <c r="I146" s="17">
        <f>IFERROR(IF($C146="","",$D146*INDEX(PRODUCTOS!$D$5:$D$44,MATCH($C146,PRODUCTOS!$B$5:$B$44,0))),"")</f>
        <v/>
      </c>
      <c r="J146" s="30">
        <f>IFERROR(IF($C146="","",$H146-$I146),"")</f>
        <v/>
      </c>
      <c r="K146" s="28" t="n"/>
      <c r="L146" s="28" t="n"/>
    </row>
    <row r="147">
      <c r="A147" s="26" t="n"/>
      <c r="B147" s="27">
        <f>IF($A147="","",TEXT($A147,"YYYY-MM"))</f>
        <v/>
      </c>
      <c r="C147" s="28" t="n"/>
      <c r="D147" s="29" t="n"/>
      <c r="E147" s="17">
        <f>IFERROR(IF($C147="","",INDEX(PRODUCTOS!$E$5:$E$44,MATCH($C147,PRODUCTOS!$B$5:$B$44,0))),"")</f>
        <v/>
      </c>
      <c r="F147" s="17">
        <f>IFERROR(IF($C147="","",$D147*$E147),"")</f>
        <v/>
      </c>
      <c r="G147" s="17">
        <f>IFERROR(IF($C147="","",$F147-$H147),"")</f>
        <v/>
      </c>
      <c r="H147" s="17">
        <f>IFERROR(IF($C147="","",$F147/(1+INICIO!$C$5)),"")</f>
        <v/>
      </c>
      <c r="I147" s="17">
        <f>IFERROR(IF($C147="","",$D147*INDEX(PRODUCTOS!$D$5:$D$44,MATCH($C147,PRODUCTOS!$B$5:$B$44,0))),"")</f>
        <v/>
      </c>
      <c r="J147" s="30">
        <f>IFERROR(IF($C147="","",$H147-$I147),"")</f>
        <v/>
      </c>
      <c r="K147" s="28" t="n"/>
      <c r="L147" s="28" t="n"/>
    </row>
    <row r="148">
      <c r="A148" s="26" t="n"/>
      <c r="B148" s="27">
        <f>IF($A148="","",TEXT($A148,"YYYY-MM"))</f>
        <v/>
      </c>
      <c r="C148" s="28" t="n"/>
      <c r="D148" s="29" t="n"/>
      <c r="E148" s="17">
        <f>IFERROR(IF($C148="","",INDEX(PRODUCTOS!$E$5:$E$44,MATCH($C148,PRODUCTOS!$B$5:$B$44,0))),"")</f>
        <v/>
      </c>
      <c r="F148" s="17">
        <f>IFERROR(IF($C148="","",$D148*$E148),"")</f>
        <v/>
      </c>
      <c r="G148" s="17">
        <f>IFERROR(IF($C148="","",$F148-$H148),"")</f>
        <v/>
      </c>
      <c r="H148" s="17">
        <f>IFERROR(IF($C148="","",$F148/(1+INICIO!$C$5)),"")</f>
        <v/>
      </c>
      <c r="I148" s="17">
        <f>IFERROR(IF($C148="","",$D148*INDEX(PRODUCTOS!$D$5:$D$44,MATCH($C148,PRODUCTOS!$B$5:$B$44,0))),"")</f>
        <v/>
      </c>
      <c r="J148" s="30">
        <f>IFERROR(IF($C148="","",$H148-$I148),"")</f>
        <v/>
      </c>
      <c r="K148" s="28" t="n"/>
      <c r="L148" s="28" t="n"/>
    </row>
    <row r="149">
      <c r="A149" s="26" t="n"/>
      <c r="B149" s="27">
        <f>IF($A149="","",TEXT($A149,"YYYY-MM"))</f>
        <v/>
      </c>
      <c r="C149" s="28" t="n"/>
      <c r="D149" s="29" t="n"/>
      <c r="E149" s="17">
        <f>IFERROR(IF($C149="","",INDEX(PRODUCTOS!$E$5:$E$44,MATCH($C149,PRODUCTOS!$B$5:$B$44,0))),"")</f>
        <v/>
      </c>
      <c r="F149" s="17">
        <f>IFERROR(IF($C149="","",$D149*$E149),"")</f>
        <v/>
      </c>
      <c r="G149" s="17">
        <f>IFERROR(IF($C149="","",$F149-$H149),"")</f>
        <v/>
      </c>
      <c r="H149" s="17">
        <f>IFERROR(IF($C149="","",$F149/(1+INICIO!$C$5)),"")</f>
        <v/>
      </c>
      <c r="I149" s="17">
        <f>IFERROR(IF($C149="","",$D149*INDEX(PRODUCTOS!$D$5:$D$44,MATCH($C149,PRODUCTOS!$B$5:$B$44,0))),"")</f>
        <v/>
      </c>
      <c r="J149" s="30">
        <f>IFERROR(IF($C149="","",$H149-$I149),"")</f>
        <v/>
      </c>
      <c r="K149" s="28" t="n"/>
      <c r="L149" s="28" t="n"/>
    </row>
    <row r="150">
      <c r="A150" s="26" t="n"/>
      <c r="B150" s="27">
        <f>IF($A150="","",TEXT($A150,"YYYY-MM"))</f>
        <v/>
      </c>
      <c r="C150" s="28" t="n"/>
      <c r="D150" s="29" t="n"/>
      <c r="E150" s="17">
        <f>IFERROR(IF($C150="","",INDEX(PRODUCTOS!$E$5:$E$44,MATCH($C150,PRODUCTOS!$B$5:$B$44,0))),"")</f>
        <v/>
      </c>
      <c r="F150" s="17">
        <f>IFERROR(IF($C150="","",$D150*$E150),"")</f>
        <v/>
      </c>
      <c r="G150" s="17">
        <f>IFERROR(IF($C150="","",$F150-$H150),"")</f>
        <v/>
      </c>
      <c r="H150" s="17">
        <f>IFERROR(IF($C150="","",$F150/(1+INICIO!$C$5)),"")</f>
        <v/>
      </c>
      <c r="I150" s="17">
        <f>IFERROR(IF($C150="","",$D150*INDEX(PRODUCTOS!$D$5:$D$44,MATCH($C150,PRODUCTOS!$B$5:$B$44,0))),"")</f>
        <v/>
      </c>
      <c r="J150" s="30">
        <f>IFERROR(IF($C150="","",$H150-$I150),"")</f>
        <v/>
      </c>
      <c r="K150" s="28" t="n"/>
      <c r="L150" s="28" t="n"/>
    </row>
    <row r="151">
      <c r="A151" s="26" t="n"/>
      <c r="B151" s="27">
        <f>IF($A151="","",TEXT($A151,"YYYY-MM"))</f>
        <v/>
      </c>
      <c r="C151" s="28" t="n"/>
      <c r="D151" s="29" t="n"/>
      <c r="E151" s="17">
        <f>IFERROR(IF($C151="","",INDEX(PRODUCTOS!$E$5:$E$44,MATCH($C151,PRODUCTOS!$B$5:$B$44,0))),"")</f>
        <v/>
      </c>
      <c r="F151" s="17">
        <f>IFERROR(IF($C151="","",$D151*$E151),"")</f>
        <v/>
      </c>
      <c r="G151" s="17">
        <f>IFERROR(IF($C151="","",$F151-$H151),"")</f>
        <v/>
      </c>
      <c r="H151" s="17">
        <f>IFERROR(IF($C151="","",$F151/(1+INICIO!$C$5)),"")</f>
        <v/>
      </c>
      <c r="I151" s="17">
        <f>IFERROR(IF($C151="","",$D151*INDEX(PRODUCTOS!$D$5:$D$44,MATCH($C151,PRODUCTOS!$B$5:$B$44,0))),"")</f>
        <v/>
      </c>
      <c r="J151" s="30">
        <f>IFERROR(IF($C151="","",$H151-$I151),"")</f>
        <v/>
      </c>
      <c r="K151" s="28" t="n"/>
      <c r="L151" s="28" t="n"/>
    </row>
    <row r="152">
      <c r="A152" s="26" t="n"/>
      <c r="B152" s="27">
        <f>IF($A152="","",TEXT($A152,"YYYY-MM"))</f>
        <v/>
      </c>
      <c r="C152" s="28" t="n"/>
      <c r="D152" s="29" t="n"/>
      <c r="E152" s="17">
        <f>IFERROR(IF($C152="","",INDEX(PRODUCTOS!$E$5:$E$44,MATCH($C152,PRODUCTOS!$B$5:$B$44,0))),"")</f>
        <v/>
      </c>
      <c r="F152" s="17">
        <f>IFERROR(IF($C152="","",$D152*$E152),"")</f>
        <v/>
      </c>
      <c r="G152" s="17">
        <f>IFERROR(IF($C152="","",$F152-$H152),"")</f>
        <v/>
      </c>
      <c r="H152" s="17">
        <f>IFERROR(IF($C152="","",$F152/(1+INICIO!$C$5)),"")</f>
        <v/>
      </c>
      <c r="I152" s="17">
        <f>IFERROR(IF($C152="","",$D152*INDEX(PRODUCTOS!$D$5:$D$44,MATCH($C152,PRODUCTOS!$B$5:$B$44,0))),"")</f>
        <v/>
      </c>
      <c r="J152" s="30">
        <f>IFERROR(IF($C152="","",$H152-$I152),"")</f>
        <v/>
      </c>
      <c r="K152" s="28" t="n"/>
      <c r="L152" s="28" t="n"/>
    </row>
    <row r="153">
      <c r="A153" s="26" t="n"/>
      <c r="B153" s="27">
        <f>IF($A153="","",TEXT($A153,"YYYY-MM"))</f>
        <v/>
      </c>
      <c r="C153" s="28" t="n"/>
      <c r="D153" s="29" t="n"/>
      <c r="E153" s="17">
        <f>IFERROR(IF($C153="","",INDEX(PRODUCTOS!$E$5:$E$44,MATCH($C153,PRODUCTOS!$B$5:$B$44,0))),"")</f>
        <v/>
      </c>
      <c r="F153" s="17">
        <f>IFERROR(IF($C153="","",$D153*$E153),"")</f>
        <v/>
      </c>
      <c r="G153" s="17">
        <f>IFERROR(IF($C153="","",$F153-$H153),"")</f>
        <v/>
      </c>
      <c r="H153" s="17">
        <f>IFERROR(IF($C153="","",$F153/(1+INICIO!$C$5)),"")</f>
        <v/>
      </c>
      <c r="I153" s="17">
        <f>IFERROR(IF($C153="","",$D153*INDEX(PRODUCTOS!$D$5:$D$44,MATCH($C153,PRODUCTOS!$B$5:$B$44,0))),"")</f>
        <v/>
      </c>
      <c r="J153" s="30">
        <f>IFERROR(IF($C153="","",$H153-$I153),"")</f>
        <v/>
      </c>
      <c r="K153" s="28" t="n"/>
      <c r="L153" s="28" t="n"/>
    </row>
    <row r="154">
      <c r="A154" s="26" t="n"/>
      <c r="B154" s="27">
        <f>IF($A154="","",TEXT($A154,"YYYY-MM"))</f>
        <v/>
      </c>
      <c r="C154" s="28" t="n"/>
      <c r="D154" s="29" t="n"/>
      <c r="E154" s="17">
        <f>IFERROR(IF($C154="","",INDEX(PRODUCTOS!$E$5:$E$44,MATCH($C154,PRODUCTOS!$B$5:$B$44,0))),"")</f>
        <v/>
      </c>
      <c r="F154" s="17">
        <f>IFERROR(IF($C154="","",$D154*$E154),"")</f>
        <v/>
      </c>
      <c r="G154" s="17">
        <f>IFERROR(IF($C154="","",$F154-$H154),"")</f>
        <v/>
      </c>
      <c r="H154" s="17">
        <f>IFERROR(IF($C154="","",$F154/(1+INICIO!$C$5)),"")</f>
        <v/>
      </c>
      <c r="I154" s="17">
        <f>IFERROR(IF($C154="","",$D154*INDEX(PRODUCTOS!$D$5:$D$44,MATCH($C154,PRODUCTOS!$B$5:$B$44,0))),"")</f>
        <v/>
      </c>
      <c r="J154" s="30">
        <f>IFERROR(IF($C154="","",$H154-$I154),"")</f>
        <v/>
      </c>
      <c r="K154" s="28" t="n"/>
      <c r="L154" s="28" t="n"/>
    </row>
    <row r="155">
      <c r="A155" s="26" t="n"/>
      <c r="B155" s="27">
        <f>IF($A155="","",TEXT($A155,"YYYY-MM"))</f>
        <v/>
      </c>
      <c r="C155" s="28" t="n"/>
      <c r="D155" s="29" t="n"/>
      <c r="E155" s="17">
        <f>IFERROR(IF($C155="","",INDEX(PRODUCTOS!$E$5:$E$44,MATCH($C155,PRODUCTOS!$B$5:$B$44,0))),"")</f>
        <v/>
      </c>
      <c r="F155" s="17">
        <f>IFERROR(IF($C155="","",$D155*$E155),"")</f>
        <v/>
      </c>
      <c r="G155" s="17">
        <f>IFERROR(IF($C155="","",$F155-$H155),"")</f>
        <v/>
      </c>
      <c r="H155" s="17">
        <f>IFERROR(IF($C155="","",$F155/(1+INICIO!$C$5)),"")</f>
        <v/>
      </c>
      <c r="I155" s="17">
        <f>IFERROR(IF($C155="","",$D155*INDEX(PRODUCTOS!$D$5:$D$44,MATCH($C155,PRODUCTOS!$B$5:$B$44,0))),"")</f>
        <v/>
      </c>
      <c r="J155" s="30">
        <f>IFERROR(IF($C155="","",$H155-$I155),"")</f>
        <v/>
      </c>
      <c r="K155" s="28" t="n"/>
      <c r="L155" s="28" t="n"/>
    </row>
    <row r="156">
      <c r="A156" s="26" t="n"/>
      <c r="B156" s="27">
        <f>IF($A156="","",TEXT($A156,"YYYY-MM"))</f>
        <v/>
      </c>
      <c r="C156" s="28" t="n"/>
      <c r="D156" s="29" t="n"/>
      <c r="E156" s="17">
        <f>IFERROR(IF($C156="","",INDEX(PRODUCTOS!$E$5:$E$44,MATCH($C156,PRODUCTOS!$B$5:$B$44,0))),"")</f>
        <v/>
      </c>
      <c r="F156" s="17">
        <f>IFERROR(IF($C156="","",$D156*$E156),"")</f>
        <v/>
      </c>
      <c r="G156" s="17">
        <f>IFERROR(IF($C156="","",$F156-$H156),"")</f>
        <v/>
      </c>
      <c r="H156" s="17">
        <f>IFERROR(IF($C156="","",$F156/(1+INICIO!$C$5)),"")</f>
        <v/>
      </c>
      <c r="I156" s="17">
        <f>IFERROR(IF($C156="","",$D156*INDEX(PRODUCTOS!$D$5:$D$44,MATCH($C156,PRODUCTOS!$B$5:$B$44,0))),"")</f>
        <v/>
      </c>
      <c r="J156" s="30">
        <f>IFERROR(IF($C156="","",$H156-$I156),"")</f>
        <v/>
      </c>
      <c r="K156" s="28" t="n"/>
      <c r="L156" s="28" t="n"/>
    </row>
    <row r="157">
      <c r="A157" s="26" t="n"/>
      <c r="B157" s="27">
        <f>IF($A157="","",TEXT($A157,"YYYY-MM"))</f>
        <v/>
      </c>
      <c r="C157" s="28" t="n"/>
      <c r="D157" s="29" t="n"/>
      <c r="E157" s="17">
        <f>IFERROR(IF($C157="","",INDEX(PRODUCTOS!$E$5:$E$44,MATCH($C157,PRODUCTOS!$B$5:$B$44,0))),"")</f>
        <v/>
      </c>
      <c r="F157" s="17">
        <f>IFERROR(IF($C157="","",$D157*$E157),"")</f>
        <v/>
      </c>
      <c r="G157" s="17">
        <f>IFERROR(IF($C157="","",$F157-$H157),"")</f>
        <v/>
      </c>
      <c r="H157" s="17">
        <f>IFERROR(IF($C157="","",$F157/(1+INICIO!$C$5)),"")</f>
        <v/>
      </c>
      <c r="I157" s="17">
        <f>IFERROR(IF($C157="","",$D157*INDEX(PRODUCTOS!$D$5:$D$44,MATCH($C157,PRODUCTOS!$B$5:$B$44,0))),"")</f>
        <v/>
      </c>
      <c r="J157" s="30">
        <f>IFERROR(IF($C157="","",$H157-$I157),"")</f>
        <v/>
      </c>
      <c r="K157" s="28" t="n"/>
      <c r="L157" s="28" t="n"/>
    </row>
    <row r="158">
      <c r="A158" s="26" t="n"/>
      <c r="B158" s="27">
        <f>IF($A158="","",TEXT($A158,"YYYY-MM"))</f>
        <v/>
      </c>
      <c r="C158" s="28" t="n"/>
      <c r="D158" s="29" t="n"/>
      <c r="E158" s="17">
        <f>IFERROR(IF($C158="","",INDEX(PRODUCTOS!$E$5:$E$44,MATCH($C158,PRODUCTOS!$B$5:$B$44,0))),"")</f>
        <v/>
      </c>
      <c r="F158" s="17">
        <f>IFERROR(IF($C158="","",$D158*$E158),"")</f>
        <v/>
      </c>
      <c r="G158" s="17">
        <f>IFERROR(IF($C158="","",$F158-$H158),"")</f>
        <v/>
      </c>
      <c r="H158" s="17">
        <f>IFERROR(IF($C158="","",$F158/(1+INICIO!$C$5)),"")</f>
        <v/>
      </c>
      <c r="I158" s="17">
        <f>IFERROR(IF($C158="","",$D158*INDEX(PRODUCTOS!$D$5:$D$44,MATCH($C158,PRODUCTOS!$B$5:$B$44,0))),"")</f>
        <v/>
      </c>
      <c r="J158" s="30">
        <f>IFERROR(IF($C158="","",$H158-$I158),"")</f>
        <v/>
      </c>
      <c r="K158" s="28" t="n"/>
      <c r="L158" s="28" t="n"/>
    </row>
    <row r="159">
      <c r="A159" s="26" t="n"/>
      <c r="B159" s="27">
        <f>IF($A159="","",TEXT($A159,"YYYY-MM"))</f>
        <v/>
      </c>
      <c r="C159" s="28" t="n"/>
      <c r="D159" s="29" t="n"/>
      <c r="E159" s="17">
        <f>IFERROR(IF($C159="","",INDEX(PRODUCTOS!$E$5:$E$44,MATCH($C159,PRODUCTOS!$B$5:$B$44,0))),"")</f>
        <v/>
      </c>
      <c r="F159" s="17">
        <f>IFERROR(IF($C159="","",$D159*$E159),"")</f>
        <v/>
      </c>
      <c r="G159" s="17">
        <f>IFERROR(IF($C159="","",$F159-$H159),"")</f>
        <v/>
      </c>
      <c r="H159" s="17">
        <f>IFERROR(IF($C159="","",$F159/(1+INICIO!$C$5)),"")</f>
        <v/>
      </c>
      <c r="I159" s="17">
        <f>IFERROR(IF($C159="","",$D159*INDEX(PRODUCTOS!$D$5:$D$44,MATCH($C159,PRODUCTOS!$B$5:$B$44,0))),"")</f>
        <v/>
      </c>
      <c r="J159" s="30">
        <f>IFERROR(IF($C159="","",$H159-$I159),"")</f>
        <v/>
      </c>
      <c r="K159" s="28" t="n"/>
      <c r="L159" s="28" t="n"/>
    </row>
    <row r="160">
      <c r="A160" s="26" t="n"/>
      <c r="B160" s="27">
        <f>IF($A160="","",TEXT($A160,"YYYY-MM"))</f>
        <v/>
      </c>
      <c r="C160" s="28" t="n"/>
      <c r="D160" s="29" t="n"/>
      <c r="E160" s="17">
        <f>IFERROR(IF($C160="","",INDEX(PRODUCTOS!$E$5:$E$44,MATCH($C160,PRODUCTOS!$B$5:$B$44,0))),"")</f>
        <v/>
      </c>
      <c r="F160" s="17">
        <f>IFERROR(IF($C160="","",$D160*$E160),"")</f>
        <v/>
      </c>
      <c r="G160" s="17">
        <f>IFERROR(IF($C160="","",$F160-$H160),"")</f>
        <v/>
      </c>
      <c r="H160" s="17">
        <f>IFERROR(IF($C160="","",$F160/(1+INICIO!$C$5)),"")</f>
        <v/>
      </c>
      <c r="I160" s="17">
        <f>IFERROR(IF($C160="","",$D160*INDEX(PRODUCTOS!$D$5:$D$44,MATCH($C160,PRODUCTOS!$B$5:$B$44,0))),"")</f>
        <v/>
      </c>
      <c r="J160" s="30">
        <f>IFERROR(IF($C160="","",$H160-$I160),"")</f>
        <v/>
      </c>
      <c r="K160" s="28" t="n"/>
      <c r="L160" s="28" t="n"/>
    </row>
    <row r="161">
      <c r="A161" s="26" t="n"/>
      <c r="B161" s="27">
        <f>IF($A161="","",TEXT($A161,"YYYY-MM"))</f>
        <v/>
      </c>
      <c r="C161" s="28" t="n"/>
      <c r="D161" s="29" t="n"/>
      <c r="E161" s="17">
        <f>IFERROR(IF($C161="","",INDEX(PRODUCTOS!$E$5:$E$44,MATCH($C161,PRODUCTOS!$B$5:$B$44,0))),"")</f>
        <v/>
      </c>
      <c r="F161" s="17">
        <f>IFERROR(IF($C161="","",$D161*$E161),"")</f>
        <v/>
      </c>
      <c r="G161" s="17">
        <f>IFERROR(IF($C161="","",$F161-$H161),"")</f>
        <v/>
      </c>
      <c r="H161" s="17">
        <f>IFERROR(IF($C161="","",$F161/(1+INICIO!$C$5)),"")</f>
        <v/>
      </c>
      <c r="I161" s="17">
        <f>IFERROR(IF($C161="","",$D161*INDEX(PRODUCTOS!$D$5:$D$44,MATCH($C161,PRODUCTOS!$B$5:$B$44,0))),"")</f>
        <v/>
      </c>
      <c r="J161" s="30">
        <f>IFERROR(IF($C161="","",$H161-$I161),"")</f>
        <v/>
      </c>
      <c r="K161" s="28" t="n"/>
      <c r="L161" s="28" t="n"/>
    </row>
    <row r="162">
      <c r="A162" s="26" t="n"/>
      <c r="B162" s="27">
        <f>IF($A162="","",TEXT($A162,"YYYY-MM"))</f>
        <v/>
      </c>
      <c r="C162" s="28" t="n"/>
      <c r="D162" s="29" t="n"/>
      <c r="E162" s="17">
        <f>IFERROR(IF($C162="","",INDEX(PRODUCTOS!$E$5:$E$44,MATCH($C162,PRODUCTOS!$B$5:$B$44,0))),"")</f>
        <v/>
      </c>
      <c r="F162" s="17">
        <f>IFERROR(IF($C162="","",$D162*$E162),"")</f>
        <v/>
      </c>
      <c r="G162" s="17">
        <f>IFERROR(IF($C162="","",$F162-$H162),"")</f>
        <v/>
      </c>
      <c r="H162" s="17">
        <f>IFERROR(IF($C162="","",$F162/(1+INICIO!$C$5)),"")</f>
        <v/>
      </c>
      <c r="I162" s="17">
        <f>IFERROR(IF($C162="","",$D162*INDEX(PRODUCTOS!$D$5:$D$44,MATCH($C162,PRODUCTOS!$B$5:$B$44,0))),"")</f>
        <v/>
      </c>
      <c r="J162" s="30">
        <f>IFERROR(IF($C162="","",$H162-$I162),"")</f>
        <v/>
      </c>
      <c r="K162" s="28" t="n"/>
      <c r="L162" s="28" t="n"/>
    </row>
    <row r="163">
      <c r="A163" s="26" t="n"/>
      <c r="B163" s="27">
        <f>IF($A163="","",TEXT($A163,"YYYY-MM"))</f>
        <v/>
      </c>
      <c r="C163" s="28" t="n"/>
      <c r="D163" s="29" t="n"/>
      <c r="E163" s="17">
        <f>IFERROR(IF($C163="","",INDEX(PRODUCTOS!$E$5:$E$44,MATCH($C163,PRODUCTOS!$B$5:$B$44,0))),"")</f>
        <v/>
      </c>
      <c r="F163" s="17">
        <f>IFERROR(IF($C163="","",$D163*$E163),"")</f>
        <v/>
      </c>
      <c r="G163" s="17">
        <f>IFERROR(IF($C163="","",$F163-$H163),"")</f>
        <v/>
      </c>
      <c r="H163" s="17">
        <f>IFERROR(IF($C163="","",$F163/(1+INICIO!$C$5)),"")</f>
        <v/>
      </c>
      <c r="I163" s="17">
        <f>IFERROR(IF($C163="","",$D163*INDEX(PRODUCTOS!$D$5:$D$44,MATCH($C163,PRODUCTOS!$B$5:$B$44,0))),"")</f>
        <v/>
      </c>
      <c r="J163" s="30">
        <f>IFERROR(IF($C163="","",$H163-$I163),"")</f>
        <v/>
      </c>
      <c r="K163" s="28" t="n"/>
      <c r="L163" s="28" t="n"/>
    </row>
    <row r="164">
      <c r="A164" s="26" t="n"/>
      <c r="B164" s="27">
        <f>IF($A164="","",TEXT($A164,"YYYY-MM"))</f>
        <v/>
      </c>
      <c r="C164" s="28" t="n"/>
      <c r="D164" s="29" t="n"/>
      <c r="E164" s="17">
        <f>IFERROR(IF($C164="","",INDEX(PRODUCTOS!$E$5:$E$44,MATCH($C164,PRODUCTOS!$B$5:$B$44,0))),"")</f>
        <v/>
      </c>
      <c r="F164" s="17">
        <f>IFERROR(IF($C164="","",$D164*$E164),"")</f>
        <v/>
      </c>
      <c r="G164" s="17">
        <f>IFERROR(IF($C164="","",$F164-$H164),"")</f>
        <v/>
      </c>
      <c r="H164" s="17">
        <f>IFERROR(IF($C164="","",$F164/(1+INICIO!$C$5)),"")</f>
        <v/>
      </c>
      <c r="I164" s="17">
        <f>IFERROR(IF($C164="","",$D164*INDEX(PRODUCTOS!$D$5:$D$44,MATCH($C164,PRODUCTOS!$B$5:$B$44,0))),"")</f>
        <v/>
      </c>
      <c r="J164" s="30">
        <f>IFERROR(IF($C164="","",$H164-$I164),"")</f>
        <v/>
      </c>
      <c r="K164" s="28" t="n"/>
      <c r="L164" s="28" t="n"/>
    </row>
    <row r="165">
      <c r="A165" s="26" t="n"/>
      <c r="B165" s="27">
        <f>IF($A165="","",TEXT($A165,"YYYY-MM"))</f>
        <v/>
      </c>
      <c r="C165" s="28" t="n"/>
      <c r="D165" s="29" t="n"/>
      <c r="E165" s="17">
        <f>IFERROR(IF($C165="","",INDEX(PRODUCTOS!$E$5:$E$44,MATCH($C165,PRODUCTOS!$B$5:$B$44,0))),"")</f>
        <v/>
      </c>
      <c r="F165" s="17">
        <f>IFERROR(IF($C165="","",$D165*$E165),"")</f>
        <v/>
      </c>
      <c r="G165" s="17">
        <f>IFERROR(IF($C165="","",$F165-$H165),"")</f>
        <v/>
      </c>
      <c r="H165" s="17">
        <f>IFERROR(IF($C165="","",$F165/(1+INICIO!$C$5)),"")</f>
        <v/>
      </c>
      <c r="I165" s="17">
        <f>IFERROR(IF($C165="","",$D165*INDEX(PRODUCTOS!$D$5:$D$44,MATCH($C165,PRODUCTOS!$B$5:$B$44,0))),"")</f>
        <v/>
      </c>
      <c r="J165" s="30">
        <f>IFERROR(IF($C165="","",$H165-$I165),"")</f>
        <v/>
      </c>
      <c r="K165" s="28" t="n"/>
      <c r="L165" s="28" t="n"/>
    </row>
    <row r="166">
      <c r="A166" s="26" t="n"/>
      <c r="B166" s="27">
        <f>IF($A166="","",TEXT($A166,"YYYY-MM"))</f>
        <v/>
      </c>
      <c r="C166" s="28" t="n"/>
      <c r="D166" s="29" t="n"/>
      <c r="E166" s="17">
        <f>IFERROR(IF($C166="","",INDEX(PRODUCTOS!$E$5:$E$44,MATCH($C166,PRODUCTOS!$B$5:$B$44,0))),"")</f>
        <v/>
      </c>
      <c r="F166" s="17">
        <f>IFERROR(IF($C166="","",$D166*$E166),"")</f>
        <v/>
      </c>
      <c r="G166" s="17">
        <f>IFERROR(IF($C166="","",$F166-$H166),"")</f>
        <v/>
      </c>
      <c r="H166" s="17">
        <f>IFERROR(IF($C166="","",$F166/(1+INICIO!$C$5)),"")</f>
        <v/>
      </c>
      <c r="I166" s="17">
        <f>IFERROR(IF($C166="","",$D166*INDEX(PRODUCTOS!$D$5:$D$44,MATCH($C166,PRODUCTOS!$B$5:$B$44,0))),"")</f>
        <v/>
      </c>
      <c r="J166" s="30">
        <f>IFERROR(IF($C166="","",$H166-$I166),"")</f>
        <v/>
      </c>
      <c r="K166" s="28" t="n"/>
      <c r="L166" s="28" t="n"/>
    </row>
    <row r="167">
      <c r="A167" s="26" t="n"/>
      <c r="B167" s="27">
        <f>IF($A167="","",TEXT($A167,"YYYY-MM"))</f>
        <v/>
      </c>
      <c r="C167" s="28" t="n"/>
      <c r="D167" s="29" t="n"/>
      <c r="E167" s="17">
        <f>IFERROR(IF($C167="","",INDEX(PRODUCTOS!$E$5:$E$44,MATCH($C167,PRODUCTOS!$B$5:$B$44,0))),"")</f>
        <v/>
      </c>
      <c r="F167" s="17">
        <f>IFERROR(IF($C167="","",$D167*$E167),"")</f>
        <v/>
      </c>
      <c r="G167" s="17">
        <f>IFERROR(IF($C167="","",$F167-$H167),"")</f>
        <v/>
      </c>
      <c r="H167" s="17">
        <f>IFERROR(IF($C167="","",$F167/(1+INICIO!$C$5)),"")</f>
        <v/>
      </c>
      <c r="I167" s="17">
        <f>IFERROR(IF($C167="","",$D167*INDEX(PRODUCTOS!$D$5:$D$44,MATCH($C167,PRODUCTOS!$B$5:$B$44,0))),"")</f>
        <v/>
      </c>
      <c r="J167" s="30">
        <f>IFERROR(IF($C167="","",$H167-$I167),"")</f>
        <v/>
      </c>
      <c r="K167" s="28" t="n"/>
      <c r="L167" s="28" t="n"/>
    </row>
    <row r="168">
      <c r="A168" s="26" t="n"/>
      <c r="B168" s="27">
        <f>IF($A168="","",TEXT($A168,"YYYY-MM"))</f>
        <v/>
      </c>
      <c r="C168" s="28" t="n"/>
      <c r="D168" s="29" t="n"/>
      <c r="E168" s="17">
        <f>IFERROR(IF($C168="","",INDEX(PRODUCTOS!$E$5:$E$44,MATCH($C168,PRODUCTOS!$B$5:$B$44,0))),"")</f>
        <v/>
      </c>
      <c r="F168" s="17">
        <f>IFERROR(IF($C168="","",$D168*$E168),"")</f>
        <v/>
      </c>
      <c r="G168" s="17">
        <f>IFERROR(IF($C168="","",$F168-$H168),"")</f>
        <v/>
      </c>
      <c r="H168" s="17">
        <f>IFERROR(IF($C168="","",$F168/(1+INICIO!$C$5)),"")</f>
        <v/>
      </c>
      <c r="I168" s="17">
        <f>IFERROR(IF($C168="","",$D168*INDEX(PRODUCTOS!$D$5:$D$44,MATCH($C168,PRODUCTOS!$B$5:$B$44,0))),"")</f>
        <v/>
      </c>
      <c r="J168" s="30">
        <f>IFERROR(IF($C168="","",$H168-$I168),"")</f>
        <v/>
      </c>
      <c r="K168" s="28" t="n"/>
      <c r="L168" s="28" t="n"/>
    </row>
    <row r="169">
      <c r="A169" s="26" t="n"/>
      <c r="B169" s="27">
        <f>IF($A169="","",TEXT($A169,"YYYY-MM"))</f>
        <v/>
      </c>
      <c r="C169" s="28" t="n"/>
      <c r="D169" s="29" t="n"/>
      <c r="E169" s="17">
        <f>IFERROR(IF($C169="","",INDEX(PRODUCTOS!$E$5:$E$44,MATCH($C169,PRODUCTOS!$B$5:$B$44,0))),"")</f>
        <v/>
      </c>
      <c r="F169" s="17">
        <f>IFERROR(IF($C169="","",$D169*$E169),"")</f>
        <v/>
      </c>
      <c r="G169" s="17">
        <f>IFERROR(IF($C169="","",$F169-$H169),"")</f>
        <v/>
      </c>
      <c r="H169" s="17">
        <f>IFERROR(IF($C169="","",$F169/(1+INICIO!$C$5)),"")</f>
        <v/>
      </c>
      <c r="I169" s="17">
        <f>IFERROR(IF($C169="","",$D169*INDEX(PRODUCTOS!$D$5:$D$44,MATCH($C169,PRODUCTOS!$B$5:$B$44,0))),"")</f>
        <v/>
      </c>
      <c r="J169" s="30">
        <f>IFERROR(IF($C169="","",$H169-$I169),"")</f>
        <v/>
      </c>
      <c r="K169" s="28" t="n"/>
      <c r="L169" s="28" t="n"/>
    </row>
    <row r="170">
      <c r="A170" s="26" t="n"/>
      <c r="B170" s="27">
        <f>IF($A170="","",TEXT($A170,"YYYY-MM"))</f>
        <v/>
      </c>
      <c r="C170" s="28" t="n"/>
      <c r="D170" s="29" t="n"/>
      <c r="E170" s="17">
        <f>IFERROR(IF($C170="","",INDEX(PRODUCTOS!$E$5:$E$44,MATCH($C170,PRODUCTOS!$B$5:$B$44,0))),"")</f>
        <v/>
      </c>
      <c r="F170" s="17">
        <f>IFERROR(IF($C170="","",$D170*$E170),"")</f>
        <v/>
      </c>
      <c r="G170" s="17">
        <f>IFERROR(IF($C170="","",$F170-$H170),"")</f>
        <v/>
      </c>
      <c r="H170" s="17">
        <f>IFERROR(IF($C170="","",$F170/(1+INICIO!$C$5)),"")</f>
        <v/>
      </c>
      <c r="I170" s="17">
        <f>IFERROR(IF($C170="","",$D170*INDEX(PRODUCTOS!$D$5:$D$44,MATCH($C170,PRODUCTOS!$B$5:$B$44,0))),"")</f>
        <v/>
      </c>
      <c r="J170" s="30">
        <f>IFERROR(IF($C170="","",$H170-$I170),"")</f>
        <v/>
      </c>
      <c r="K170" s="28" t="n"/>
      <c r="L170" s="28" t="n"/>
    </row>
    <row r="171">
      <c r="A171" s="26" t="n"/>
      <c r="B171" s="27">
        <f>IF($A171="","",TEXT($A171,"YYYY-MM"))</f>
        <v/>
      </c>
      <c r="C171" s="28" t="n"/>
      <c r="D171" s="29" t="n"/>
      <c r="E171" s="17">
        <f>IFERROR(IF($C171="","",INDEX(PRODUCTOS!$E$5:$E$44,MATCH($C171,PRODUCTOS!$B$5:$B$44,0))),"")</f>
        <v/>
      </c>
      <c r="F171" s="17">
        <f>IFERROR(IF($C171="","",$D171*$E171),"")</f>
        <v/>
      </c>
      <c r="G171" s="17">
        <f>IFERROR(IF($C171="","",$F171-$H171),"")</f>
        <v/>
      </c>
      <c r="H171" s="17">
        <f>IFERROR(IF($C171="","",$F171/(1+INICIO!$C$5)),"")</f>
        <v/>
      </c>
      <c r="I171" s="17">
        <f>IFERROR(IF($C171="","",$D171*INDEX(PRODUCTOS!$D$5:$D$44,MATCH($C171,PRODUCTOS!$B$5:$B$44,0))),"")</f>
        <v/>
      </c>
      <c r="J171" s="30">
        <f>IFERROR(IF($C171="","",$H171-$I171),"")</f>
        <v/>
      </c>
      <c r="K171" s="28" t="n"/>
      <c r="L171" s="28" t="n"/>
    </row>
    <row r="172">
      <c r="A172" s="26" t="n"/>
      <c r="B172" s="27">
        <f>IF($A172="","",TEXT($A172,"YYYY-MM"))</f>
        <v/>
      </c>
      <c r="C172" s="28" t="n"/>
      <c r="D172" s="29" t="n"/>
      <c r="E172" s="17">
        <f>IFERROR(IF($C172="","",INDEX(PRODUCTOS!$E$5:$E$44,MATCH($C172,PRODUCTOS!$B$5:$B$44,0))),"")</f>
        <v/>
      </c>
      <c r="F172" s="17">
        <f>IFERROR(IF($C172="","",$D172*$E172),"")</f>
        <v/>
      </c>
      <c r="G172" s="17">
        <f>IFERROR(IF($C172="","",$F172-$H172),"")</f>
        <v/>
      </c>
      <c r="H172" s="17">
        <f>IFERROR(IF($C172="","",$F172/(1+INICIO!$C$5)),"")</f>
        <v/>
      </c>
      <c r="I172" s="17">
        <f>IFERROR(IF($C172="","",$D172*INDEX(PRODUCTOS!$D$5:$D$44,MATCH($C172,PRODUCTOS!$B$5:$B$44,0))),"")</f>
        <v/>
      </c>
      <c r="J172" s="30">
        <f>IFERROR(IF($C172="","",$H172-$I172),"")</f>
        <v/>
      </c>
      <c r="K172" s="28" t="n"/>
      <c r="L172" s="28" t="n"/>
    </row>
    <row r="173">
      <c r="A173" s="26" t="n"/>
      <c r="B173" s="27">
        <f>IF($A173="","",TEXT($A173,"YYYY-MM"))</f>
        <v/>
      </c>
      <c r="C173" s="28" t="n"/>
      <c r="D173" s="29" t="n"/>
      <c r="E173" s="17">
        <f>IFERROR(IF($C173="","",INDEX(PRODUCTOS!$E$5:$E$44,MATCH($C173,PRODUCTOS!$B$5:$B$44,0))),"")</f>
        <v/>
      </c>
      <c r="F173" s="17">
        <f>IFERROR(IF($C173="","",$D173*$E173),"")</f>
        <v/>
      </c>
      <c r="G173" s="17">
        <f>IFERROR(IF($C173="","",$F173-$H173),"")</f>
        <v/>
      </c>
      <c r="H173" s="17">
        <f>IFERROR(IF($C173="","",$F173/(1+INICIO!$C$5)),"")</f>
        <v/>
      </c>
      <c r="I173" s="17">
        <f>IFERROR(IF($C173="","",$D173*INDEX(PRODUCTOS!$D$5:$D$44,MATCH($C173,PRODUCTOS!$B$5:$B$44,0))),"")</f>
        <v/>
      </c>
      <c r="J173" s="30">
        <f>IFERROR(IF($C173="","",$H173-$I173),"")</f>
        <v/>
      </c>
      <c r="K173" s="28" t="n"/>
      <c r="L173" s="28" t="n"/>
    </row>
    <row r="174">
      <c r="A174" s="26" t="n"/>
      <c r="B174" s="27">
        <f>IF($A174="","",TEXT($A174,"YYYY-MM"))</f>
        <v/>
      </c>
      <c r="C174" s="28" t="n"/>
      <c r="D174" s="29" t="n"/>
      <c r="E174" s="17">
        <f>IFERROR(IF($C174="","",INDEX(PRODUCTOS!$E$5:$E$44,MATCH($C174,PRODUCTOS!$B$5:$B$44,0))),"")</f>
        <v/>
      </c>
      <c r="F174" s="17">
        <f>IFERROR(IF($C174="","",$D174*$E174),"")</f>
        <v/>
      </c>
      <c r="G174" s="17">
        <f>IFERROR(IF($C174="","",$F174-$H174),"")</f>
        <v/>
      </c>
      <c r="H174" s="17">
        <f>IFERROR(IF($C174="","",$F174/(1+INICIO!$C$5)),"")</f>
        <v/>
      </c>
      <c r="I174" s="17">
        <f>IFERROR(IF($C174="","",$D174*INDEX(PRODUCTOS!$D$5:$D$44,MATCH($C174,PRODUCTOS!$B$5:$B$44,0))),"")</f>
        <v/>
      </c>
      <c r="J174" s="30">
        <f>IFERROR(IF($C174="","",$H174-$I174),"")</f>
        <v/>
      </c>
      <c r="K174" s="28" t="n"/>
      <c r="L174" s="28" t="n"/>
    </row>
    <row r="175">
      <c r="A175" s="26" t="n"/>
      <c r="B175" s="27">
        <f>IF($A175="","",TEXT($A175,"YYYY-MM"))</f>
        <v/>
      </c>
      <c r="C175" s="28" t="n"/>
      <c r="D175" s="29" t="n"/>
      <c r="E175" s="17">
        <f>IFERROR(IF($C175="","",INDEX(PRODUCTOS!$E$5:$E$44,MATCH($C175,PRODUCTOS!$B$5:$B$44,0))),"")</f>
        <v/>
      </c>
      <c r="F175" s="17">
        <f>IFERROR(IF($C175="","",$D175*$E175),"")</f>
        <v/>
      </c>
      <c r="G175" s="17">
        <f>IFERROR(IF($C175="","",$F175-$H175),"")</f>
        <v/>
      </c>
      <c r="H175" s="17">
        <f>IFERROR(IF($C175="","",$F175/(1+INICIO!$C$5)),"")</f>
        <v/>
      </c>
      <c r="I175" s="17">
        <f>IFERROR(IF($C175="","",$D175*INDEX(PRODUCTOS!$D$5:$D$44,MATCH($C175,PRODUCTOS!$B$5:$B$44,0))),"")</f>
        <v/>
      </c>
      <c r="J175" s="30">
        <f>IFERROR(IF($C175="","",$H175-$I175),"")</f>
        <v/>
      </c>
      <c r="K175" s="28" t="n"/>
      <c r="L175" s="28" t="n"/>
    </row>
    <row r="176">
      <c r="A176" s="26" t="n"/>
      <c r="B176" s="27">
        <f>IF($A176="","",TEXT($A176,"YYYY-MM"))</f>
        <v/>
      </c>
      <c r="C176" s="28" t="n"/>
      <c r="D176" s="29" t="n"/>
      <c r="E176" s="17">
        <f>IFERROR(IF($C176="","",INDEX(PRODUCTOS!$E$5:$E$44,MATCH($C176,PRODUCTOS!$B$5:$B$44,0))),"")</f>
        <v/>
      </c>
      <c r="F176" s="17">
        <f>IFERROR(IF($C176="","",$D176*$E176),"")</f>
        <v/>
      </c>
      <c r="G176" s="17">
        <f>IFERROR(IF($C176="","",$F176-$H176),"")</f>
        <v/>
      </c>
      <c r="H176" s="17">
        <f>IFERROR(IF($C176="","",$F176/(1+INICIO!$C$5)),"")</f>
        <v/>
      </c>
      <c r="I176" s="17">
        <f>IFERROR(IF($C176="","",$D176*INDEX(PRODUCTOS!$D$5:$D$44,MATCH($C176,PRODUCTOS!$B$5:$B$44,0))),"")</f>
        <v/>
      </c>
      <c r="J176" s="30">
        <f>IFERROR(IF($C176="","",$H176-$I176),"")</f>
        <v/>
      </c>
      <c r="K176" s="28" t="n"/>
      <c r="L176" s="28" t="n"/>
    </row>
    <row r="177">
      <c r="A177" s="26" t="n"/>
      <c r="B177" s="27">
        <f>IF($A177="","",TEXT($A177,"YYYY-MM"))</f>
        <v/>
      </c>
      <c r="C177" s="28" t="n"/>
      <c r="D177" s="29" t="n"/>
      <c r="E177" s="17">
        <f>IFERROR(IF($C177="","",INDEX(PRODUCTOS!$E$5:$E$44,MATCH($C177,PRODUCTOS!$B$5:$B$44,0))),"")</f>
        <v/>
      </c>
      <c r="F177" s="17">
        <f>IFERROR(IF($C177="","",$D177*$E177),"")</f>
        <v/>
      </c>
      <c r="G177" s="17">
        <f>IFERROR(IF($C177="","",$F177-$H177),"")</f>
        <v/>
      </c>
      <c r="H177" s="17">
        <f>IFERROR(IF($C177="","",$F177/(1+INICIO!$C$5)),"")</f>
        <v/>
      </c>
      <c r="I177" s="17">
        <f>IFERROR(IF($C177="","",$D177*INDEX(PRODUCTOS!$D$5:$D$44,MATCH($C177,PRODUCTOS!$B$5:$B$44,0))),"")</f>
        <v/>
      </c>
      <c r="J177" s="30">
        <f>IFERROR(IF($C177="","",$H177-$I177),"")</f>
        <v/>
      </c>
      <c r="K177" s="28" t="n"/>
      <c r="L177" s="28" t="n"/>
    </row>
    <row r="178">
      <c r="A178" s="26" t="n"/>
      <c r="B178" s="27">
        <f>IF($A178="","",TEXT($A178,"YYYY-MM"))</f>
        <v/>
      </c>
      <c r="C178" s="28" t="n"/>
      <c r="D178" s="29" t="n"/>
      <c r="E178" s="17">
        <f>IFERROR(IF($C178="","",INDEX(PRODUCTOS!$E$5:$E$44,MATCH($C178,PRODUCTOS!$B$5:$B$44,0))),"")</f>
        <v/>
      </c>
      <c r="F178" s="17">
        <f>IFERROR(IF($C178="","",$D178*$E178),"")</f>
        <v/>
      </c>
      <c r="G178" s="17">
        <f>IFERROR(IF($C178="","",$F178-$H178),"")</f>
        <v/>
      </c>
      <c r="H178" s="17">
        <f>IFERROR(IF($C178="","",$F178/(1+INICIO!$C$5)),"")</f>
        <v/>
      </c>
      <c r="I178" s="17">
        <f>IFERROR(IF($C178="","",$D178*INDEX(PRODUCTOS!$D$5:$D$44,MATCH($C178,PRODUCTOS!$B$5:$B$44,0))),"")</f>
        <v/>
      </c>
      <c r="J178" s="30">
        <f>IFERROR(IF($C178="","",$H178-$I178),"")</f>
        <v/>
      </c>
      <c r="K178" s="28" t="n"/>
      <c r="L178" s="28" t="n"/>
    </row>
    <row r="179">
      <c r="A179" s="26" t="n"/>
      <c r="B179" s="27">
        <f>IF($A179="","",TEXT($A179,"YYYY-MM"))</f>
        <v/>
      </c>
      <c r="C179" s="28" t="n"/>
      <c r="D179" s="29" t="n"/>
      <c r="E179" s="17">
        <f>IFERROR(IF($C179="","",INDEX(PRODUCTOS!$E$5:$E$44,MATCH($C179,PRODUCTOS!$B$5:$B$44,0))),"")</f>
        <v/>
      </c>
      <c r="F179" s="17">
        <f>IFERROR(IF($C179="","",$D179*$E179),"")</f>
        <v/>
      </c>
      <c r="G179" s="17">
        <f>IFERROR(IF($C179="","",$F179-$H179),"")</f>
        <v/>
      </c>
      <c r="H179" s="17">
        <f>IFERROR(IF($C179="","",$F179/(1+INICIO!$C$5)),"")</f>
        <v/>
      </c>
      <c r="I179" s="17">
        <f>IFERROR(IF($C179="","",$D179*INDEX(PRODUCTOS!$D$5:$D$44,MATCH($C179,PRODUCTOS!$B$5:$B$44,0))),"")</f>
        <v/>
      </c>
      <c r="J179" s="30">
        <f>IFERROR(IF($C179="","",$H179-$I179),"")</f>
        <v/>
      </c>
      <c r="K179" s="28" t="n"/>
      <c r="L179" s="28" t="n"/>
    </row>
    <row r="180">
      <c r="A180" s="26" t="n"/>
      <c r="B180" s="27">
        <f>IF($A180="","",TEXT($A180,"YYYY-MM"))</f>
        <v/>
      </c>
      <c r="C180" s="28" t="n"/>
      <c r="D180" s="29" t="n"/>
      <c r="E180" s="17">
        <f>IFERROR(IF($C180="","",INDEX(PRODUCTOS!$E$5:$E$44,MATCH($C180,PRODUCTOS!$B$5:$B$44,0))),"")</f>
        <v/>
      </c>
      <c r="F180" s="17">
        <f>IFERROR(IF($C180="","",$D180*$E180),"")</f>
        <v/>
      </c>
      <c r="G180" s="17">
        <f>IFERROR(IF($C180="","",$F180-$H180),"")</f>
        <v/>
      </c>
      <c r="H180" s="17">
        <f>IFERROR(IF($C180="","",$F180/(1+INICIO!$C$5)),"")</f>
        <v/>
      </c>
      <c r="I180" s="17">
        <f>IFERROR(IF($C180="","",$D180*INDEX(PRODUCTOS!$D$5:$D$44,MATCH($C180,PRODUCTOS!$B$5:$B$44,0))),"")</f>
        <v/>
      </c>
      <c r="J180" s="30">
        <f>IFERROR(IF($C180="","",$H180-$I180),"")</f>
        <v/>
      </c>
      <c r="K180" s="28" t="n"/>
      <c r="L180" s="28" t="n"/>
    </row>
    <row r="181">
      <c r="A181" s="26" t="n"/>
      <c r="B181" s="27">
        <f>IF($A181="","",TEXT($A181,"YYYY-MM"))</f>
        <v/>
      </c>
      <c r="C181" s="28" t="n"/>
      <c r="D181" s="29" t="n"/>
      <c r="E181" s="17">
        <f>IFERROR(IF($C181="","",INDEX(PRODUCTOS!$E$5:$E$44,MATCH($C181,PRODUCTOS!$B$5:$B$44,0))),"")</f>
        <v/>
      </c>
      <c r="F181" s="17">
        <f>IFERROR(IF($C181="","",$D181*$E181),"")</f>
        <v/>
      </c>
      <c r="G181" s="17">
        <f>IFERROR(IF($C181="","",$F181-$H181),"")</f>
        <v/>
      </c>
      <c r="H181" s="17">
        <f>IFERROR(IF($C181="","",$F181/(1+INICIO!$C$5)),"")</f>
        <v/>
      </c>
      <c r="I181" s="17">
        <f>IFERROR(IF($C181="","",$D181*INDEX(PRODUCTOS!$D$5:$D$44,MATCH($C181,PRODUCTOS!$B$5:$B$44,0))),"")</f>
        <v/>
      </c>
      <c r="J181" s="30">
        <f>IFERROR(IF($C181="","",$H181-$I181),"")</f>
        <v/>
      </c>
      <c r="K181" s="28" t="n"/>
      <c r="L181" s="28" t="n"/>
    </row>
    <row r="182">
      <c r="A182" s="26" t="n"/>
      <c r="B182" s="27">
        <f>IF($A182="","",TEXT($A182,"YYYY-MM"))</f>
        <v/>
      </c>
      <c r="C182" s="28" t="n"/>
      <c r="D182" s="29" t="n"/>
      <c r="E182" s="17">
        <f>IFERROR(IF($C182="","",INDEX(PRODUCTOS!$E$5:$E$44,MATCH($C182,PRODUCTOS!$B$5:$B$44,0))),"")</f>
        <v/>
      </c>
      <c r="F182" s="17">
        <f>IFERROR(IF($C182="","",$D182*$E182),"")</f>
        <v/>
      </c>
      <c r="G182" s="17">
        <f>IFERROR(IF($C182="","",$F182-$H182),"")</f>
        <v/>
      </c>
      <c r="H182" s="17">
        <f>IFERROR(IF($C182="","",$F182/(1+INICIO!$C$5)),"")</f>
        <v/>
      </c>
      <c r="I182" s="17">
        <f>IFERROR(IF($C182="","",$D182*INDEX(PRODUCTOS!$D$5:$D$44,MATCH($C182,PRODUCTOS!$B$5:$B$44,0))),"")</f>
        <v/>
      </c>
      <c r="J182" s="30">
        <f>IFERROR(IF($C182="","",$H182-$I182),"")</f>
        <v/>
      </c>
      <c r="K182" s="28" t="n"/>
      <c r="L182" s="28" t="n"/>
    </row>
    <row r="183">
      <c r="A183" s="26" t="n"/>
      <c r="B183" s="27">
        <f>IF($A183="","",TEXT($A183,"YYYY-MM"))</f>
        <v/>
      </c>
      <c r="C183" s="28" t="n"/>
      <c r="D183" s="29" t="n"/>
      <c r="E183" s="17">
        <f>IFERROR(IF($C183="","",INDEX(PRODUCTOS!$E$5:$E$44,MATCH($C183,PRODUCTOS!$B$5:$B$44,0))),"")</f>
        <v/>
      </c>
      <c r="F183" s="17">
        <f>IFERROR(IF($C183="","",$D183*$E183),"")</f>
        <v/>
      </c>
      <c r="G183" s="17">
        <f>IFERROR(IF($C183="","",$F183-$H183),"")</f>
        <v/>
      </c>
      <c r="H183" s="17">
        <f>IFERROR(IF($C183="","",$F183/(1+INICIO!$C$5)),"")</f>
        <v/>
      </c>
      <c r="I183" s="17">
        <f>IFERROR(IF($C183="","",$D183*INDEX(PRODUCTOS!$D$5:$D$44,MATCH($C183,PRODUCTOS!$B$5:$B$44,0))),"")</f>
        <v/>
      </c>
      <c r="J183" s="30">
        <f>IFERROR(IF($C183="","",$H183-$I183),"")</f>
        <v/>
      </c>
      <c r="K183" s="28" t="n"/>
      <c r="L183" s="28" t="n"/>
    </row>
    <row r="184">
      <c r="A184" s="26" t="n"/>
      <c r="B184" s="27">
        <f>IF($A184="","",TEXT($A184,"YYYY-MM"))</f>
        <v/>
      </c>
      <c r="C184" s="28" t="n"/>
      <c r="D184" s="29" t="n"/>
      <c r="E184" s="17">
        <f>IFERROR(IF($C184="","",INDEX(PRODUCTOS!$E$5:$E$44,MATCH($C184,PRODUCTOS!$B$5:$B$44,0))),"")</f>
        <v/>
      </c>
      <c r="F184" s="17">
        <f>IFERROR(IF($C184="","",$D184*$E184),"")</f>
        <v/>
      </c>
      <c r="G184" s="17">
        <f>IFERROR(IF($C184="","",$F184-$H184),"")</f>
        <v/>
      </c>
      <c r="H184" s="17">
        <f>IFERROR(IF($C184="","",$F184/(1+INICIO!$C$5)),"")</f>
        <v/>
      </c>
      <c r="I184" s="17">
        <f>IFERROR(IF($C184="","",$D184*INDEX(PRODUCTOS!$D$5:$D$44,MATCH($C184,PRODUCTOS!$B$5:$B$44,0))),"")</f>
        <v/>
      </c>
      <c r="J184" s="30">
        <f>IFERROR(IF($C184="","",$H184-$I184),"")</f>
        <v/>
      </c>
      <c r="K184" s="28" t="n"/>
      <c r="L184" s="28" t="n"/>
    </row>
    <row r="185">
      <c r="A185" s="26" t="n"/>
      <c r="B185" s="27">
        <f>IF($A185="","",TEXT($A185,"YYYY-MM"))</f>
        <v/>
      </c>
      <c r="C185" s="28" t="n"/>
      <c r="D185" s="29" t="n"/>
      <c r="E185" s="17">
        <f>IFERROR(IF($C185="","",INDEX(PRODUCTOS!$E$5:$E$44,MATCH($C185,PRODUCTOS!$B$5:$B$44,0))),"")</f>
        <v/>
      </c>
      <c r="F185" s="17">
        <f>IFERROR(IF($C185="","",$D185*$E185),"")</f>
        <v/>
      </c>
      <c r="G185" s="17">
        <f>IFERROR(IF($C185="","",$F185-$H185),"")</f>
        <v/>
      </c>
      <c r="H185" s="17">
        <f>IFERROR(IF($C185="","",$F185/(1+INICIO!$C$5)),"")</f>
        <v/>
      </c>
      <c r="I185" s="17">
        <f>IFERROR(IF($C185="","",$D185*INDEX(PRODUCTOS!$D$5:$D$44,MATCH($C185,PRODUCTOS!$B$5:$B$44,0))),"")</f>
        <v/>
      </c>
      <c r="J185" s="30">
        <f>IFERROR(IF($C185="","",$H185-$I185),"")</f>
        <v/>
      </c>
      <c r="K185" s="28" t="n"/>
      <c r="L185" s="28" t="n"/>
    </row>
    <row r="186">
      <c r="A186" s="26" t="n"/>
      <c r="B186" s="27">
        <f>IF($A186="","",TEXT($A186,"YYYY-MM"))</f>
        <v/>
      </c>
      <c r="C186" s="28" t="n"/>
      <c r="D186" s="29" t="n"/>
      <c r="E186" s="17">
        <f>IFERROR(IF($C186="","",INDEX(PRODUCTOS!$E$5:$E$44,MATCH($C186,PRODUCTOS!$B$5:$B$44,0))),"")</f>
        <v/>
      </c>
      <c r="F186" s="17">
        <f>IFERROR(IF($C186="","",$D186*$E186),"")</f>
        <v/>
      </c>
      <c r="G186" s="17">
        <f>IFERROR(IF($C186="","",$F186-$H186),"")</f>
        <v/>
      </c>
      <c r="H186" s="17">
        <f>IFERROR(IF($C186="","",$F186/(1+INICIO!$C$5)),"")</f>
        <v/>
      </c>
      <c r="I186" s="17">
        <f>IFERROR(IF($C186="","",$D186*INDEX(PRODUCTOS!$D$5:$D$44,MATCH($C186,PRODUCTOS!$B$5:$B$44,0))),"")</f>
        <v/>
      </c>
      <c r="J186" s="30">
        <f>IFERROR(IF($C186="","",$H186-$I186),"")</f>
        <v/>
      </c>
      <c r="K186" s="28" t="n"/>
      <c r="L186" s="28" t="n"/>
    </row>
    <row r="187">
      <c r="A187" s="26" t="n"/>
      <c r="B187" s="27">
        <f>IF($A187="","",TEXT($A187,"YYYY-MM"))</f>
        <v/>
      </c>
      <c r="C187" s="28" t="n"/>
      <c r="D187" s="29" t="n"/>
      <c r="E187" s="17">
        <f>IFERROR(IF($C187="","",INDEX(PRODUCTOS!$E$5:$E$44,MATCH($C187,PRODUCTOS!$B$5:$B$44,0))),"")</f>
        <v/>
      </c>
      <c r="F187" s="17">
        <f>IFERROR(IF($C187="","",$D187*$E187),"")</f>
        <v/>
      </c>
      <c r="G187" s="17">
        <f>IFERROR(IF($C187="","",$F187-$H187),"")</f>
        <v/>
      </c>
      <c r="H187" s="17">
        <f>IFERROR(IF($C187="","",$F187/(1+INICIO!$C$5)),"")</f>
        <v/>
      </c>
      <c r="I187" s="17">
        <f>IFERROR(IF($C187="","",$D187*INDEX(PRODUCTOS!$D$5:$D$44,MATCH($C187,PRODUCTOS!$B$5:$B$44,0))),"")</f>
        <v/>
      </c>
      <c r="J187" s="30">
        <f>IFERROR(IF($C187="","",$H187-$I187),"")</f>
        <v/>
      </c>
      <c r="K187" s="28" t="n"/>
      <c r="L187" s="28" t="n"/>
    </row>
    <row r="188">
      <c r="A188" s="26" t="n"/>
      <c r="B188" s="27">
        <f>IF($A188="","",TEXT($A188,"YYYY-MM"))</f>
        <v/>
      </c>
      <c r="C188" s="28" t="n"/>
      <c r="D188" s="29" t="n"/>
      <c r="E188" s="17">
        <f>IFERROR(IF($C188="","",INDEX(PRODUCTOS!$E$5:$E$44,MATCH($C188,PRODUCTOS!$B$5:$B$44,0))),"")</f>
        <v/>
      </c>
      <c r="F188" s="17">
        <f>IFERROR(IF($C188="","",$D188*$E188),"")</f>
        <v/>
      </c>
      <c r="G188" s="17">
        <f>IFERROR(IF($C188="","",$F188-$H188),"")</f>
        <v/>
      </c>
      <c r="H188" s="17">
        <f>IFERROR(IF($C188="","",$F188/(1+INICIO!$C$5)),"")</f>
        <v/>
      </c>
      <c r="I188" s="17">
        <f>IFERROR(IF($C188="","",$D188*INDEX(PRODUCTOS!$D$5:$D$44,MATCH($C188,PRODUCTOS!$B$5:$B$44,0))),"")</f>
        <v/>
      </c>
      <c r="J188" s="30">
        <f>IFERROR(IF($C188="","",$H188-$I188),"")</f>
        <v/>
      </c>
      <c r="K188" s="28" t="n"/>
      <c r="L188" s="28" t="n"/>
    </row>
    <row r="189">
      <c r="A189" s="26" t="n"/>
      <c r="B189" s="27">
        <f>IF($A189="","",TEXT($A189,"YYYY-MM"))</f>
        <v/>
      </c>
      <c r="C189" s="28" t="n"/>
      <c r="D189" s="29" t="n"/>
      <c r="E189" s="17">
        <f>IFERROR(IF($C189="","",INDEX(PRODUCTOS!$E$5:$E$44,MATCH($C189,PRODUCTOS!$B$5:$B$44,0))),"")</f>
        <v/>
      </c>
      <c r="F189" s="17">
        <f>IFERROR(IF($C189="","",$D189*$E189),"")</f>
        <v/>
      </c>
      <c r="G189" s="17">
        <f>IFERROR(IF($C189="","",$F189-$H189),"")</f>
        <v/>
      </c>
      <c r="H189" s="17">
        <f>IFERROR(IF($C189="","",$F189/(1+INICIO!$C$5)),"")</f>
        <v/>
      </c>
      <c r="I189" s="17">
        <f>IFERROR(IF($C189="","",$D189*INDEX(PRODUCTOS!$D$5:$D$44,MATCH($C189,PRODUCTOS!$B$5:$B$44,0))),"")</f>
        <v/>
      </c>
      <c r="J189" s="30">
        <f>IFERROR(IF($C189="","",$H189-$I189),"")</f>
        <v/>
      </c>
      <c r="K189" s="28" t="n"/>
      <c r="L189" s="28" t="n"/>
    </row>
    <row r="190">
      <c r="A190" s="26" t="n"/>
      <c r="B190" s="27">
        <f>IF($A190="","",TEXT($A190,"YYYY-MM"))</f>
        <v/>
      </c>
      <c r="C190" s="28" t="n"/>
      <c r="D190" s="29" t="n"/>
      <c r="E190" s="17">
        <f>IFERROR(IF($C190="","",INDEX(PRODUCTOS!$E$5:$E$44,MATCH($C190,PRODUCTOS!$B$5:$B$44,0))),"")</f>
        <v/>
      </c>
      <c r="F190" s="17">
        <f>IFERROR(IF($C190="","",$D190*$E190),"")</f>
        <v/>
      </c>
      <c r="G190" s="17">
        <f>IFERROR(IF($C190="","",$F190-$H190),"")</f>
        <v/>
      </c>
      <c r="H190" s="17">
        <f>IFERROR(IF($C190="","",$F190/(1+INICIO!$C$5)),"")</f>
        <v/>
      </c>
      <c r="I190" s="17">
        <f>IFERROR(IF($C190="","",$D190*INDEX(PRODUCTOS!$D$5:$D$44,MATCH($C190,PRODUCTOS!$B$5:$B$44,0))),"")</f>
        <v/>
      </c>
      <c r="J190" s="30">
        <f>IFERROR(IF($C190="","",$H190-$I190),"")</f>
        <v/>
      </c>
      <c r="K190" s="28" t="n"/>
      <c r="L190" s="28" t="n"/>
    </row>
    <row r="191">
      <c r="A191" s="26" t="n"/>
      <c r="B191" s="27">
        <f>IF($A191="","",TEXT($A191,"YYYY-MM"))</f>
        <v/>
      </c>
      <c r="C191" s="28" t="n"/>
      <c r="D191" s="29" t="n"/>
      <c r="E191" s="17">
        <f>IFERROR(IF($C191="","",INDEX(PRODUCTOS!$E$5:$E$44,MATCH($C191,PRODUCTOS!$B$5:$B$44,0))),"")</f>
        <v/>
      </c>
      <c r="F191" s="17">
        <f>IFERROR(IF($C191="","",$D191*$E191),"")</f>
        <v/>
      </c>
      <c r="G191" s="17">
        <f>IFERROR(IF($C191="","",$F191-$H191),"")</f>
        <v/>
      </c>
      <c r="H191" s="17">
        <f>IFERROR(IF($C191="","",$F191/(1+INICIO!$C$5)),"")</f>
        <v/>
      </c>
      <c r="I191" s="17">
        <f>IFERROR(IF($C191="","",$D191*INDEX(PRODUCTOS!$D$5:$D$44,MATCH($C191,PRODUCTOS!$B$5:$B$44,0))),"")</f>
        <v/>
      </c>
      <c r="J191" s="30">
        <f>IFERROR(IF($C191="","",$H191-$I191),"")</f>
        <v/>
      </c>
      <c r="K191" s="28" t="n"/>
      <c r="L191" s="28" t="n"/>
    </row>
    <row r="192">
      <c r="A192" s="26" t="n"/>
      <c r="B192" s="27">
        <f>IF($A192="","",TEXT($A192,"YYYY-MM"))</f>
        <v/>
      </c>
      <c r="C192" s="28" t="n"/>
      <c r="D192" s="29" t="n"/>
      <c r="E192" s="17">
        <f>IFERROR(IF($C192="","",INDEX(PRODUCTOS!$E$5:$E$44,MATCH($C192,PRODUCTOS!$B$5:$B$44,0))),"")</f>
        <v/>
      </c>
      <c r="F192" s="17">
        <f>IFERROR(IF($C192="","",$D192*$E192),"")</f>
        <v/>
      </c>
      <c r="G192" s="17">
        <f>IFERROR(IF($C192="","",$F192-$H192),"")</f>
        <v/>
      </c>
      <c r="H192" s="17">
        <f>IFERROR(IF($C192="","",$F192/(1+INICIO!$C$5)),"")</f>
        <v/>
      </c>
      <c r="I192" s="17">
        <f>IFERROR(IF($C192="","",$D192*INDEX(PRODUCTOS!$D$5:$D$44,MATCH($C192,PRODUCTOS!$B$5:$B$44,0))),"")</f>
        <v/>
      </c>
      <c r="J192" s="30">
        <f>IFERROR(IF($C192="","",$H192-$I192),"")</f>
        <v/>
      </c>
      <c r="K192" s="28" t="n"/>
      <c r="L192" s="28" t="n"/>
    </row>
    <row r="193">
      <c r="A193" s="26" t="n"/>
      <c r="B193" s="27">
        <f>IF($A193="","",TEXT($A193,"YYYY-MM"))</f>
        <v/>
      </c>
      <c r="C193" s="28" t="n"/>
      <c r="D193" s="29" t="n"/>
      <c r="E193" s="17">
        <f>IFERROR(IF($C193="","",INDEX(PRODUCTOS!$E$5:$E$44,MATCH($C193,PRODUCTOS!$B$5:$B$44,0))),"")</f>
        <v/>
      </c>
      <c r="F193" s="17">
        <f>IFERROR(IF($C193="","",$D193*$E193),"")</f>
        <v/>
      </c>
      <c r="G193" s="17">
        <f>IFERROR(IF($C193="","",$F193-$H193),"")</f>
        <v/>
      </c>
      <c r="H193" s="17">
        <f>IFERROR(IF($C193="","",$F193/(1+INICIO!$C$5)),"")</f>
        <v/>
      </c>
      <c r="I193" s="17">
        <f>IFERROR(IF($C193="","",$D193*INDEX(PRODUCTOS!$D$5:$D$44,MATCH($C193,PRODUCTOS!$B$5:$B$44,0))),"")</f>
        <v/>
      </c>
      <c r="J193" s="30">
        <f>IFERROR(IF($C193="","",$H193-$I193),"")</f>
        <v/>
      </c>
      <c r="K193" s="28" t="n"/>
      <c r="L193" s="28" t="n"/>
    </row>
    <row r="194">
      <c r="A194" s="26" t="n"/>
      <c r="B194" s="27">
        <f>IF($A194="","",TEXT($A194,"YYYY-MM"))</f>
        <v/>
      </c>
      <c r="C194" s="28" t="n"/>
      <c r="D194" s="29" t="n"/>
      <c r="E194" s="17">
        <f>IFERROR(IF($C194="","",INDEX(PRODUCTOS!$E$5:$E$44,MATCH($C194,PRODUCTOS!$B$5:$B$44,0))),"")</f>
        <v/>
      </c>
      <c r="F194" s="17">
        <f>IFERROR(IF($C194="","",$D194*$E194),"")</f>
        <v/>
      </c>
      <c r="G194" s="17">
        <f>IFERROR(IF($C194="","",$F194-$H194),"")</f>
        <v/>
      </c>
      <c r="H194" s="17">
        <f>IFERROR(IF($C194="","",$F194/(1+INICIO!$C$5)),"")</f>
        <v/>
      </c>
      <c r="I194" s="17">
        <f>IFERROR(IF($C194="","",$D194*INDEX(PRODUCTOS!$D$5:$D$44,MATCH($C194,PRODUCTOS!$B$5:$B$44,0))),"")</f>
        <v/>
      </c>
      <c r="J194" s="30">
        <f>IFERROR(IF($C194="","",$H194-$I194),"")</f>
        <v/>
      </c>
      <c r="K194" s="28" t="n"/>
      <c r="L194" s="28" t="n"/>
    </row>
    <row r="195">
      <c r="A195" s="26" t="n"/>
      <c r="B195" s="27">
        <f>IF($A195="","",TEXT($A195,"YYYY-MM"))</f>
        <v/>
      </c>
      <c r="C195" s="28" t="n"/>
      <c r="D195" s="29" t="n"/>
      <c r="E195" s="17">
        <f>IFERROR(IF($C195="","",INDEX(PRODUCTOS!$E$5:$E$44,MATCH($C195,PRODUCTOS!$B$5:$B$44,0))),"")</f>
        <v/>
      </c>
      <c r="F195" s="17">
        <f>IFERROR(IF($C195="","",$D195*$E195),"")</f>
        <v/>
      </c>
      <c r="G195" s="17">
        <f>IFERROR(IF($C195="","",$F195-$H195),"")</f>
        <v/>
      </c>
      <c r="H195" s="17">
        <f>IFERROR(IF($C195="","",$F195/(1+INICIO!$C$5)),"")</f>
        <v/>
      </c>
      <c r="I195" s="17">
        <f>IFERROR(IF($C195="","",$D195*INDEX(PRODUCTOS!$D$5:$D$44,MATCH($C195,PRODUCTOS!$B$5:$B$44,0))),"")</f>
        <v/>
      </c>
      <c r="J195" s="30">
        <f>IFERROR(IF($C195="","",$H195-$I195),"")</f>
        <v/>
      </c>
      <c r="K195" s="28" t="n"/>
      <c r="L195" s="28" t="n"/>
    </row>
    <row r="196">
      <c r="A196" s="26" t="n"/>
      <c r="B196" s="27">
        <f>IF($A196="","",TEXT($A196,"YYYY-MM"))</f>
        <v/>
      </c>
      <c r="C196" s="28" t="n"/>
      <c r="D196" s="29" t="n"/>
      <c r="E196" s="17">
        <f>IFERROR(IF($C196="","",INDEX(PRODUCTOS!$E$5:$E$44,MATCH($C196,PRODUCTOS!$B$5:$B$44,0))),"")</f>
        <v/>
      </c>
      <c r="F196" s="17">
        <f>IFERROR(IF($C196="","",$D196*$E196),"")</f>
        <v/>
      </c>
      <c r="G196" s="17">
        <f>IFERROR(IF($C196="","",$F196-$H196),"")</f>
        <v/>
      </c>
      <c r="H196" s="17">
        <f>IFERROR(IF($C196="","",$F196/(1+INICIO!$C$5)),"")</f>
        <v/>
      </c>
      <c r="I196" s="17">
        <f>IFERROR(IF($C196="","",$D196*INDEX(PRODUCTOS!$D$5:$D$44,MATCH($C196,PRODUCTOS!$B$5:$B$44,0))),"")</f>
        <v/>
      </c>
      <c r="J196" s="30">
        <f>IFERROR(IF($C196="","",$H196-$I196),"")</f>
        <v/>
      </c>
      <c r="K196" s="28" t="n"/>
      <c r="L196" s="28" t="n"/>
    </row>
    <row r="197">
      <c r="A197" s="26" t="n"/>
      <c r="B197" s="27">
        <f>IF($A197="","",TEXT($A197,"YYYY-MM"))</f>
        <v/>
      </c>
      <c r="C197" s="28" t="n"/>
      <c r="D197" s="29" t="n"/>
      <c r="E197" s="17">
        <f>IFERROR(IF($C197="","",INDEX(PRODUCTOS!$E$5:$E$44,MATCH($C197,PRODUCTOS!$B$5:$B$44,0))),"")</f>
        <v/>
      </c>
      <c r="F197" s="17">
        <f>IFERROR(IF($C197="","",$D197*$E197),"")</f>
        <v/>
      </c>
      <c r="G197" s="17">
        <f>IFERROR(IF($C197="","",$F197-$H197),"")</f>
        <v/>
      </c>
      <c r="H197" s="17">
        <f>IFERROR(IF($C197="","",$F197/(1+INICIO!$C$5)),"")</f>
        <v/>
      </c>
      <c r="I197" s="17">
        <f>IFERROR(IF($C197="","",$D197*INDEX(PRODUCTOS!$D$5:$D$44,MATCH($C197,PRODUCTOS!$B$5:$B$44,0))),"")</f>
        <v/>
      </c>
      <c r="J197" s="30">
        <f>IFERROR(IF($C197="","",$H197-$I197),"")</f>
        <v/>
      </c>
      <c r="K197" s="28" t="n"/>
      <c r="L197" s="28" t="n"/>
    </row>
    <row r="198">
      <c r="A198" s="26" t="n"/>
      <c r="B198" s="27">
        <f>IF($A198="","",TEXT($A198,"YYYY-MM"))</f>
        <v/>
      </c>
      <c r="C198" s="28" t="n"/>
      <c r="D198" s="29" t="n"/>
      <c r="E198" s="17">
        <f>IFERROR(IF($C198="","",INDEX(PRODUCTOS!$E$5:$E$44,MATCH($C198,PRODUCTOS!$B$5:$B$44,0))),"")</f>
        <v/>
      </c>
      <c r="F198" s="17">
        <f>IFERROR(IF($C198="","",$D198*$E198),"")</f>
        <v/>
      </c>
      <c r="G198" s="17">
        <f>IFERROR(IF($C198="","",$F198-$H198),"")</f>
        <v/>
      </c>
      <c r="H198" s="17">
        <f>IFERROR(IF($C198="","",$F198/(1+INICIO!$C$5)),"")</f>
        <v/>
      </c>
      <c r="I198" s="17">
        <f>IFERROR(IF($C198="","",$D198*INDEX(PRODUCTOS!$D$5:$D$44,MATCH($C198,PRODUCTOS!$B$5:$B$44,0))),"")</f>
        <v/>
      </c>
      <c r="J198" s="30">
        <f>IFERROR(IF($C198="","",$H198-$I198),"")</f>
        <v/>
      </c>
      <c r="K198" s="28" t="n"/>
      <c r="L198" s="28" t="n"/>
    </row>
    <row r="199">
      <c r="A199" s="26" t="n"/>
      <c r="B199" s="27">
        <f>IF($A199="","",TEXT($A199,"YYYY-MM"))</f>
        <v/>
      </c>
      <c r="C199" s="28" t="n"/>
      <c r="D199" s="29" t="n"/>
      <c r="E199" s="17">
        <f>IFERROR(IF($C199="","",INDEX(PRODUCTOS!$E$5:$E$44,MATCH($C199,PRODUCTOS!$B$5:$B$44,0))),"")</f>
        <v/>
      </c>
      <c r="F199" s="17">
        <f>IFERROR(IF($C199="","",$D199*$E199),"")</f>
        <v/>
      </c>
      <c r="G199" s="17">
        <f>IFERROR(IF($C199="","",$F199-$H199),"")</f>
        <v/>
      </c>
      <c r="H199" s="17">
        <f>IFERROR(IF($C199="","",$F199/(1+INICIO!$C$5)),"")</f>
        <v/>
      </c>
      <c r="I199" s="17">
        <f>IFERROR(IF($C199="","",$D199*INDEX(PRODUCTOS!$D$5:$D$44,MATCH($C199,PRODUCTOS!$B$5:$B$44,0))),"")</f>
        <v/>
      </c>
      <c r="J199" s="30">
        <f>IFERROR(IF($C199="","",$H199-$I199),"")</f>
        <v/>
      </c>
      <c r="K199" s="28" t="n"/>
      <c r="L199" s="28" t="n"/>
    </row>
    <row r="200">
      <c r="A200" s="26" t="n"/>
      <c r="B200" s="27">
        <f>IF($A200="","",TEXT($A200,"YYYY-MM"))</f>
        <v/>
      </c>
      <c r="C200" s="28" t="n"/>
      <c r="D200" s="29" t="n"/>
      <c r="E200" s="17">
        <f>IFERROR(IF($C200="","",INDEX(PRODUCTOS!$E$5:$E$44,MATCH($C200,PRODUCTOS!$B$5:$B$44,0))),"")</f>
        <v/>
      </c>
      <c r="F200" s="17">
        <f>IFERROR(IF($C200="","",$D200*$E200),"")</f>
        <v/>
      </c>
      <c r="G200" s="17">
        <f>IFERROR(IF($C200="","",$F200-$H200),"")</f>
        <v/>
      </c>
      <c r="H200" s="17">
        <f>IFERROR(IF($C200="","",$F200/(1+INICIO!$C$5)),"")</f>
        <v/>
      </c>
      <c r="I200" s="17">
        <f>IFERROR(IF($C200="","",$D200*INDEX(PRODUCTOS!$D$5:$D$44,MATCH($C200,PRODUCTOS!$B$5:$B$44,0))),"")</f>
        <v/>
      </c>
      <c r="J200" s="30">
        <f>IFERROR(IF($C200="","",$H200-$I200),"")</f>
        <v/>
      </c>
      <c r="K200" s="28" t="n"/>
      <c r="L200" s="28" t="n"/>
    </row>
    <row r="201">
      <c r="A201" s="26" t="n"/>
      <c r="B201" s="27">
        <f>IF($A201="","",TEXT($A201,"YYYY-MM"))</f>
        <v/>
      </c>
      <c r="C201" s="28" t="n"/>
      <c r="D201" s="29" t="n"/>
      <c r="E201" s="17">
        <f>IFERROR(IF($C201="","",INDEX(PRODUCTOS!$E$5:$E$44,MATCH($C201,PRODUCTOS!$B$5:$B$44,0))),"")</f>
        <v/>
      </c>
      <c r="F201" s="17">
        <f>IFERROR(IF($C201="","",$D201*$E201),"")</f>
        <v/>
      </c>
      <c r="G201" s="17">
        <f>IFERROR(IF($C201="","",$F201-$H201),"")</f>
        <v/>
      </c>
      <c r="H201" s="17">
        <f>IFERROR(IF($C201="","",$F201/(1+INICIO!$C$5)),"")</f>
        <v/>
      </c>
      <c r="I201" s="17">
        <f>IFERROR(IF($C201="","",$D201*INDEX(PRODUCTOS!$D$5:$D$44,MATCH($C201,PRODUCTOS!$B$5:$B$44,0))),"")</f>
        <v/>
      </c>
      <c r="J201" s="30">
        <f>IFERROR(IF($C201="","",$H201-$I201),"")</f>
        <v/>
      </c>
      <c r="K201" s="28" t="n"/>
      <c r="L201" s="28" t="n"/>
    </row>
    <row r="202">
      <c r="A202" s="26" t="n"/>
      <c r="B202" s="27">
        <f>IF($A202="","",TEXT($A202,"YYYY-MM"))</f>
        <v/>
      </c>
      <c r="C202" s="28" t="n"/>
      <c r="D202" s="29" t="n"/>
      <c r="E202" s="17">
        <f>IFERROR(IF($C202="","",INDEX(PRODUCTOS!$E$5:$E$44,MATCH($C202,PRODUCTOS!$B$5:$B$44,0))),"")</f>
        <v/>
      </c>
      <c r="F202" s="17">
        <f>IFERROR(IF($C202="","",$D202*$E202),"")</f>
        <v/>
      </c>
      <c r="G202" s="17">
        <f>IFERROR(IF($C202="","",$F202-$H202),"")</f>
        <v/>
      </c>
      <c r="H202" s="17">
        <f>IFERROR(IF($C202="","",$F202/(1+INICIO!$C$5)),"")</f>
        <v/>
      </c>
      <c r="I202" s="17">
        <f>IFERROR(IF($C202="","",$D202*INDEX(PRODUCTOS!$D$5:$D$44,MATCH($C202,PRODUCTOS!$B$5:$B$44,0))),"")</f>
        <v/>
      </c>
      <c r="J202" s="30">
        <f>IFERROR(IF($C202="","",$H202-$I202),"")</f>
        <v/>
      </c>
      <c r="K202" s="28" t="n"/>
      <c r="L202" s="28" t="n"/>
    </row>
    <row r="203">
      <c r="A203" s="26" t="n"/>
      <c r="B203" s="27">
        <f>IF($A203="","",TEXT($A203,"YYYY-MM"))</f>
        <v/>
      </c>
      <c r="C203" s="28" t="n"/>
      <c r="D203" s="29" t="n"/>
      <c r="E203" s="17">
        <f>IFERROR(IF($C203="","",INDEX(PRODUCTOS!$E$5:$E$44,MATCH($C203,PRODUCTOS!$B$5:$B$44,0))),"")</f>
        <v/>
      </c>
      <c r="F203" s="17">
        <f>IFERROR(IF($C203="","",$D203*$E203),"")</f>
        <v/>
      </c>
      <c r="G203" s="17">
        <f>IFERROR(IF($C203="","",$F203-$H203),"")</f>
        <v/>
      </c>
      <c r="H203" s="17">
        <f>IFERROR(IF($C203="","",$F203/(1+INICIO!$C$5)),"")</f>
        <v/>
      </c>
      <c r="I203" s="17">
        <f>IFERROR(IF($C203="","",$D203*INDEX(PRODUCTOS!$D$5:$D$44,MATCH($C203,PRODUCTOS!$B$5:$B$44,0))),"")</f>
        <v/>
      </c>
      <c r="J203" s="30">
        <f>IFERROR(IF($C203="","",$H203-$I203),"")</f>
        <v/>
      </c>
      <c r="K203" s="28" t="n"/>
      <c r="L203" s="28" t="n"/>
    </row>
    <row r="204">
      <c r="A204" s="26" t="n"/>
      <c r="B204" s="27">
        <f>IF($A204="","",TEXT($A204,"YYYY-MM"))</f>
        <v/>
      </c>
      <c r="C204" s="28" t="n"/>
      <c r="D204" s="29" t="n"/>
      <c r="E204" s="17">
        <f>IFERROR(IF($C204="","",INDEX(PRODUCTOS!$E$5:$E$44,MATCH($C204,PRODUCTOS!$B$5:$B$44,0))),"")</f>
        <v/>
      </c>
      <c r="F204" s="17">
        <f>IFERROR(IF($C204="","",$D204*$E204),"")</f>
        <v/>
      </c>
      <c r="G204" s="17">
        <f>IFERROR(IF($C204="","",$F204-$H204),"")</f>
        <v/>
      </c>
      <c r="H204" s="17">
        <f>IFERROR(IF($C204="","",$F204/(1+INICIO!$C$5)),"")</f>
        <v/>
      </c>
      <c r="I204" s="17">
        <f>IFERROR(IF($C204="","",$D204*INDEX(PRODUCTOS!$D$5:$D$44,MATCH($C204,PRODUCTOS!$B$5:$B$44,0))),"")</f>
        <v/>
      </c>
      <c r="J204" s="30">
        <f>IFERROR(IF($C204="","",$H204-$I204),"")</f>
        <v/>
      </c>
      <c r="K204" s="28" t="n"/>
      <c r="L204" s="28" t="n"/>
    </row>
    <row r="205">
      <c r="A205" s="26" t="n"/>
      <c r="B205" s="27">
        <f>IF($A205="","",TEXT($A205,"YYYY-MM"))</f>
        <v/>
      </c>
      <c r="C205" s="28" t="n"/>
      <c r="D205" s="29" t="n"/>
      <c r="E205" s="17">
        <f>IFERROR(IF($C205="","",INDEX(PRODUCTOS!$E$5:$E$44,MATCH($C205,PRODUCTOS!$B$5:$B$44,0))),"")</f>
        <v/>
      </c>
      <c r="F205" s="17">
        <f>IFERROR(IF($C205="","",$D205*$E205),"")</f>
        <v/>
      </c>
      <c r="G205" s="17">
        <f>IFERROR(IF($C205="","",$F205-$H205),"")</f>
        <v/>
      </c>
      <c r="H205" s="17">
        <f>IFERROR(IF($C205="","",$F205/(1+INICIO!$C$5)),"")</f>
        <v/>
      </c>
      <c r="I205" s="17">
        <f>IFERROR(IF($C205="","",$D205*INDEX(PRODUCTOS!$D$5:$D$44,MATCH($C205,PRODUCTOS!$B$5:$B$44,0))),"")</f>
        <v/>
      </c>
      <c r="J205" s="30">
        <f>IFERROR(IF($C205="","",$H205-$I205),"")</f>
        <v/>
      </c>
      <c r="K205" s="28" t="n"/>
      <c r="L205" s="28" t="n"/>
    </row>
    <row r="206">
      <c r="A206" s="26" t="n"/>
      <c r="B206" s="27">
        <f>IF($A206="","",TEXT($A206,"YYYY-MM"))</f>
        <v/>
      </c>
      <c r="C206" s="28" t="n"/>
      <c r="D206" s="29" t="n"/>
      <c r="E206" s="17">
        <f>IFERROR(IF($C206="","",INDEX(PRODUCTOS!$E$5:$E$44,MATCH($C206,PRODUCTOS!$B$5:$B$44,0))),"")</f>
        <v/>
      </c>
      <c r="F206" s="17">
        <f>IFERROR(IF($C206="","",$D206*$E206),"")</f>
        <v/>
      </c>
      <c r="G206" s="17">
        <f>IFERROR(IF($C206="","",$F206-$H206),"")</f>
        <v/>
      </c>
      <c r="H206" s="17">
        <f>IFERROR(IF($C206="","",$F206/(1+INICIO!$C$5)),"")</f>
        <v/>
      </c>
      <c r="I206" s="17">
        <f>IFERROR(IF($C206="","",$D206*INDEX(PRODUCTOS!$D$5:$D$44,MATCH($C206,PRODUCTOS!$B$5:$B$44,0))),"")</f>
        <v/>
      </c>
      <c r="J206" s="30">
        <f>IFERROR(IF($C206="","",$H206-$I206),"")</f>
        <v/>
      </c>
      <c r="K206" s="28" t="n"/>
      <c r="L206" s="28" t="n"/>
    </row>
    <row r="207">
      <c r="A207" s="26" t="n"/>
      <c r="B207" s="27">
        <f>IF($A207="","",TEXT($A207,"YYYY-MM"))</f>
        <v/>
      </c>
      <c r="C207" s="28" t="n"/>
      <c r="D207" s="29" t="n"/>
      <c r="E207" s="17">
        <f>IFERROR(IF($C207="","",INDEX(PRODUCTOS!$E$5:$E$44,MATCH($C207,PRODUCTOS!$B$5:$B$44,0))),"")</f>
        <v/>
      </c>
      <c r="F207" s="17">
        <f>IFERROR(IF($C207="","",$D207*$E207),"")</f>
        <v/>
      </c>
      <c r="G207" s="17">
        <f>IFERROR(IF($C207="","",$F207-$H207),"")</f>
        <v/>
      </c>
      <c r="H207" s="17">
        <f>IFERROR(IF($C207="","",$F207/(1+INICIO!$C$5)),"")</f>
        <v/>
      </c>
      <c r="I207" s="17">
        <f>IFERROR(IF($C207="","",$D207*INDEX(PRODUCTOS!$D$5:$D$44,MATCH($C207,PRODUCTOS!$B$5:$B$44,0))),"")</f>
        <v/>
      </c>
      <c r="J207" s="30">
        <f>IFERROR(IF($C207="","",$H207-$I207),"")</f>
        <v/>
      </c>
      <c r="K207" s="28" t="n"/>
      <c r="L207" s="28" t="n"/>
    </row>
    <row r="208">
      <c r="A208" s="26" t="n"/>
      <c r="B208" s="27">
        <f>IF($A208="","",TEXT($A208,"YYYY-MM"))</f>
        <v/>
      </c>
      <c r="C208" s="28" t="n"/>
      <c r="D208" s="29" t="n"/>
      <c r="E208" s="17">
        <f>IFERROR(IF($C208="","",INDEX(PRODUCTOS!$E$5:$E$44,MATCH($C208,PRODUCTOS!$B$5:$B$44,0))),"")</f>
        <v/>
      </c>
      <c r="F208" s="17">
        <f>IFERROR(IF($C208="","",$D208*$E208),"")</f>
        <v/>
      </c>
      <c r="G208" s="17">
        <f>IFERROR(IF($C208="","",$F208-$H208),"")</f>
        <v/>
      </c>
      <c r="H208" s="17">
        <f>IFERROR(IF($C208="","",$F208/(1+INICIO!$C$5)),"")</f>
        <v/>
      </c>
      <c r="I208" s="17">
        <f>IFERROR(IF($C208="","",$D208*INDEX(PRODUCTOS!$D$5:$D$44,MATCH($C208,PRODUCTOS!$B$5:$B$44,0))),"")</f>
        <v/>
      </c>
      <c r="J208" s="30">
        <f>IFERROR(IF($C208="","",$H208-$I208),"")</f>
        <v/>
      </c>
      <c r="K208" s="28" t="n"/>
      <c r="L208" s="28" t="n"/>
    </row>
    <row r="209">
      <c r="A209" s="26" t="n"/>
      <c r="B209" s="27">
        <f>IF($A209="","",TEXT($A209,"YYYY-MM"))</f>
        <v/>
      </c>
      <c r="C209" s="28" t="n"/>
      <c r="D209" s="29" t="n"/>
      <c r="E209" s="17">
        <f>IFERROR(IF($C209="","",INDEX(PRODUCTOS!$E$5:$E$44,MATCH($C209,PRODUCTOS!$B$5:$B$44,0))),"")</f>
        <v/>
      </c>
      <c r="F209" s="17">
        <f>IFERROR(IF($C209="","",$D209*$E209),"")</f>
        <v/>
      </c>
      <c r="G209" s="17">
        <f>IFERROR(IF($C209="","",$F209-$H209),"")</f>
        <v/>
      </c>
      <c r="H209" s="17">
        <f>IFERROR(IF($C209="","",$F209/(1+INICIO!$C$5)),"")</f>
        <v/>
      </c>
      <c r="I209" s="17">
        <f>IFERROR(IF($C209="","",$D209*INDEX(PRODUCTOS!$D$5:$D$44,MATCH($C209,PRODUCTOS!$B$5:$B$44,0))),"")</f>
        <v/>
      </c>
      <c r="J209" s="30">
        <f>IFERROR(IF($C209="","",$H209-$I209),"")</f>
        <v/>
      </c>
      <c r="K209" s="28" t="n"/>
      <c r="L209" s="28" t="n"/>
    </row>
    <row r="210">
      <c r="A210" s="26" t="n"/>
      <c r="B210" s="27">
        <f>IF($A210="","",TEXT($A210,"YYYY-MM"))</f>
        <v/>
      </c>
      <c r="C210" s="28" t="n"/>
      <c r="D210" s="29" t="n"/>
      <c r="E210" s="17">
        <f>IFERROR(IF($C210="","",INDEX(PRODUCTOS!$E$5:$E$44,MATCH($C210,PRODUCTOS!$B$5:$B$44,0))),"")</f>
        <v/>
      </c>
      <c r="F210" s="17">
        <f>IFERROR(IF($C210="","",$D210*$E210),"")</f>
        <v/>
      </c>
      <c r="G210" s="17">
        <f>IFERROR(IF($C210="","",$F210-$H210),"")</f>
        <v/>
      </c>
      <c r="H210" s="17">
        <f>IFERROR(IF($C210="","",$F210/(1+INICIO!$C$5)),"")</f>
        <v/>
      </c>
      <c r="I210" s="17">
        <f>IFERROR(IF($C210="","",$D210*INDEX(PRODUCTOS!$D$5:$D$44,MATCH($C210,PRODUCTOS!$B$5:$B$44,0))),"")</f>
        <v/>
      </c>
      <c r="J210" s="30">
        <f>IFERROR(IF($C210="","",$H210-$I210),"")</f>
        <v/>
      </c>
      <c r="K210" s="28" t="n"/>
      <c r="L210" s="28" t="n"/>
    </row>
    <row r="211">
      <c r="A211" s="26" t="n"/>
      <c r="B211" s="27">
        <f>IF($A211="","",TEXT($A211,"YYYY-MM"))</f>
        <v/>
      </c>
      <c r="C211" s="28" t="n"/>
      <c r="D211" s="29" t="n"/>
      <c r="E211" s="17">
        <f>IFERROR(IF($C211="","",INDEX(PRODUCTOS!$E$5:$E$44,MATCH($C211,PRODUCTOS!$B$5:$B$44,0))),"")</f>
        <v/>
      </c>
      <c r="F211" s="17">
        <f>IFERROR(IF($C211="","",$D211*$E211),"")</f>
        <v/>
      </c>
      <c r="G211" s="17">
        <f>IFERROR(IF($C211="","",$F211-$H211),"")</f>
        <v/>
      </c>
      <c r="H211" s="17">
        <f>IFERROR(IF($C211="","",$F211/(1+INICIO!$C$5)),"")</f>
        <v/>
      </c>
      <c r="I211" s="17">
        <f>IFERROR(IF($C211="","",$D211*INDEX(PRODUCTOS!$D$5:$D$44,MATCH($C211,PRODUCTOS!$B$5:$B$44,0))),"")</f>
        <v/>
      </c>
      <c r="J211" s="30">
        <f>IFERROR(IF($C211="","",$H211-$I211),"")</f>
        <v/>
      </c>
      <c r="K211" s="28" t="n"/>
      <c r="L211" s="28" t="n"/>
    </row>
    <row r="212">
      <c r="A212" s="26" t="n"/>
      <c r="B212" s="27">
        <f>IF($A212="","",TEXT($A212,"YYYY-MM"))</f>
        <v/>
      </c>
      <c r="C212" s="28" t="n"/>
      <c r="D212" s="29" t="n"/>
      <c r="E212" s="17">
        <f>IFERROR(IF($C212="","",INDEX(PRODUCTOS!$E$5:$E$44,MATCH($C212,PRODUCTOS!$B$5:$B$44,0))),"")</f>
        <v/>
      </c>
      <c r="F212" s="17">
        <f>IFERROR(IF($C212="","",$D212*$E212),"")</f>
        <v/>
      </c>
      <c r="G212" s="17">
        <f>IFERROR(IF($C212="","",$F212-$H212),"")</f>
        <v/>
      </c>
      <c r="H212" s="17">
        <f>IFERROR(IF($C212="","",$F212/(1+INICIO!$C$5)),"")</f>
        <v/>
      </c>
      <c r="I212" s="17">
        <f>IFERROR(IF($C212="","",$D212*INDEX(PRODUCTOS!$D$5:$D$44,MATCH($C212,PRODUCTOS!$B$5:$B$44,0))),"")</f>
        <v/>
      </c>
      <c r="J212" s="30">
        <f>IFERROR(IF($C212="","",$H212-$I212),"")</f>
        <v/>
      </c>
      <c r="K212" s="28" t="n"/>
      <c r="L212" s="28" t="n"/>
    </row>
    <row r="213">
      <c r="A213" s="26" t="n"/>
      <c r="B213" s="27">
        <f>IF($A213="","",TEXT($A213,"YYYY-MM"))</f>
        <v/>
      </c>
      <c r="C213" s="28" t="n"/>
      <c r="D213" s="29" t="n"/>
      <c r="E213" s="17">
        <f>IFERROR(IF($C213="","",INDEX(PRODUCTOS!$E$5:$E$44,MATCH($C213,PRODUCTOS!$B$5:$B$44,0))),"")</f>
        <v/>
      </c>
      <c r="F213" s="17">
        <f>IFERROR(IF($C213="","",$D213*$E213),"")</f>
        <v/>
      </c>
      <c r="G213" s="17">
        <f>IFERROR(IF($C213="","",$F213-$H213),"")</f>
        <v/>
      </c>
      <c r="H213" s="17">
        <f>IFERROR(IF($C213="","",$F213/(1+INICIO!$C$5)),"")</f>
        <v/>
      </c>
      <c r="I213" s="17">
        <f>IFERROR(IF($C213="","",$D213*INDEX(PRODUCTOS!$D$5:$D$44,MATCH($C213,PRODUCTOS!$B$5:$B$44,0))),"")</f>
        <v/>
      </c>
      <c r="J213" s="30">
        <f>IFERROR(IF($C213="","",$H213-$I213),"")</f>
        <v/>
      </c>
      <c r="K213" s="28" t="n"/>
      <c r="L213" s="28" t="n"/>
    </row>
    <row r="214">
      <c r="A214" s="26" t="n"/>
      <c r="B214" s="27">
        <f>IF($A214="","",TEXT($A214,"YYYY-MM"))</f>
        <v/>
      </c>
      <c r="C214" s="28" t="n"/>
      <c r="D214" s="29" t="n"/>
      <c r="E214" s="17">
        <f>IFERROR(IF($C214="","",INDEX(PRODUCTOS!$E$5:$E$44,MATCH($C214,PRODUCTOS!$B$5:$B$44,0))),"")</f>
        <v/>
      </c>
      <c r="F214" s="17">
        <f>IFERROR(IF($C214="","",$D214*$E214),"")</f>
        <v/>
      </c>
      <c r="G214" s="17">
        <f>IFERROR(IF($C214="","",$F214-$H214),"")</f>
        <v/>
      </c>
      <c r="H214" s="17">
        <f>IFERROR(IF($C214="","",$F214/(1+INICIO!$C$5)),"")</f>
        <v/>
      </c>
      <c r="I214" s="17">
        <f>IFERROR(IF($C214="","",$D214*INDEX(PRODUCTOS!$D$5:$D$44,MATCH($C214,PRODUCTOS!$B$5:$B$44,0))),"")</f>
        <v/>
      </c>
      <c r="J214" s="30">
        <f>IFERROR(IF($C214="","",$H214-$I214),"")</f>
        <v/>
      </c>
      <c r="K214" s="28" t="n"/>
      <c r="L214" s="28" t="n"/>
    </row>
    <row r="215">
      <c r="A215" s="26" t="n"/>
      <c r="B215" s="27">
        <f>IF($A215="","",TEXT($A215,"YYYY-MM"))</f>
        <v/>
      </c>
      <c r="C215" s="28" t="n"/>
      <c r="D215" s="29" t="n"/>
      <c r="E215" s="17">
        <f>IFERROR(IF($C215="","",INDEX(PRODUCTOS!$E$5:$E$44,MATCH($C215,PRODUCTOS!$B$5:$B$44,0))),"")</f>
        <v/>
      </c>
      <c r="F215" s="17">
        <f>IFERROR(IF($C215="","",$D215*$E215),"")</f>
        <v/>
      </c>
      <c r="G215" s="17">
        <f>IFERROR(IF($C215="","",$F215-$H215),"")</f>
        <v/>
      </c>
      <c r="H215" s="17">
        <f>IFERROR(IF($C215="","",$F215/(1+INICIO!$C$5)),"")</f>
        <v/>
      </c>
      <c r="I215" s="17">
        <f>IFERROR(IF($C215="","",$D215*INDEX(PRODUCTOS!$D$5:$D$44,MATCH($C215,PRODUCTOS!$B$5:$B$44,0))),"")</f>
        <v/>
      </c>
      <c r="J215" s="30">
        <f>IFERROR(IF($C215="","",$H215-$I215),"")</f>
        <v/>
      </c>
      <c r="K215" s="28" t="n"/>
      <c r="L215" s="28" t="n"/>
    </row>
    <row r="216">
      <c r="A216" s="26" t="n"/>
      <c r="B216" s="27">
        <f>IF($A216="","",TEXT($A216,"YYYY-MM"))</f>
        <v/>
      </c>
      <c r="C216" s="28" t="n"/>
      <c r="D216" s="29" t="n"/>
      <c r="E216" s="17">
        <f>IFERROR(IF($C216="","",INDEX(PRODUCTOS!$E$5:$E$44,MATCH($C216,PRODUCTOS!$B$5:$B$44,0))),"")</f>
        <v/>
      </c>
      <c r="F216" s="17">
        <f>IFERROR(IF($C216="","",$D216*$E216),"")</f>
        <v/>
      </c>
      <c r="G216" s="17">
        <f>IFERROR(IF($C216="","",$F216-$H216),"")</f>
        <v/>
      </c>
      <c r="H216" s="17">
        <f>IFERROR(IF($C216="","",$F216/(1+INICIO!$C$5)),"")</f>
        <v/>
      </c>
      <c r="I216" s="17">
        <f>IFERROR(IF($C216="","",$D216*INDEX(PRODUCTOS!$D$5:$D$44,MATCH($C216,PRODUCTOS!$B$5:$B$44,0))),"")</f>
        <v/>
      </c>
      <c r="J216" s="30">
        <f>IFERROR(IF($C216="","",$H216-$I216),"")</f>
        <v/>
      </c>
      <c r="K216" s="28" t="n"/>
      <c r="L216" s="28" t="n"/>
    </row>
    <row r="217">
      <c r="A217" s="26" t="n"/>
      <c r="B217" s="27">
        <f>IF($A217="","",TEXT($A217,"YYYY-MM"))</f>
        <v/>
      </c>
      <c r="C217" s="28" t="n"/>
      <c r="D217" s="29" t="n"/>
      <c r="E217" s="17">
        <f>IFERROR(IF($C217="","",INDEX(PRODUCTOS!$E$5:$E$44,MATCH($C217,PRODUCTOS!$B$5:$B$44,0))),"")</f>
        <v/>
      </c>
      <c r="F217" s="17">
        <f>IFERROR(IF($C217="","",$D217*$E217),"")</f>
        <v/>
      </c>
      <c r="G217" s="17">
        <f>IFERROR(IF($C217="","",$F217-$H217),"")</f>
        <v/>
      </c>
      <c r="H217" s="17">
        <f>IFERROR(IF($C217="","",$F217/(1+INICIO!$C$5)),"")</f>
        <v/>
      </c>
      <c r="I217" s="17">
        <f>IFERROR(IF($C217="","",$D217*INDEX(PRODUCTOS!$D$5:$D$44,MATCH($C217,PRODUCTOS!$B$5:$B$44,0))),"")</f>
        <v/>
      </c>
      <c r="J217" s="30">
        <f>IFERROR(IF($C217="","",$H217-$I217),"")</f>
        <v/>
      </c>
      <c r="K217" s="28" t="n"/>
      <c r="L217" s="28" t="n"/>
    </row>
    <row r="218">
      <c r="A218" s="26" t="n"/>
      <c r="B218" s="27">
        <f>IF($A218="","",TEXT($A218,"YYYY-MM"))</f>
        <v/>
      </c>
      <c r="C218" s="28" t="n"/>
      <c r="D218" s="29" t="n"/>
      <c r="E218" s="17">
        <f>IFERROR(IF($C218="","",INDEX(PRODUCTOS!$E$5:$E$44,MATCH($C218,PRODUCTOS!$B$5:$B$44,0))),"")</f>
        <v/>
      </c>
      <c r="F218" s="17">
        <f>IFERROR(IF($C218="","",$D218*$E218),"")</f>
        <v/>
      </c>
      <c r="G218" s="17">
        <f>IFERROR(IF($C218="","",$F218-$H218),"")</f>
        <v/>
      </c>
      <c r="H218" s="17">
        <f>IFERROR(IF($C218="","",$F218/(1+INICIO!$C$5)),"")</f>
        <v/>
      </c>
      <c r="I218" s="17">
        <f>IFERROR(IF($C218="","",$D218*INDEX(PRODUCTOS!$D$5:$D$44,MATCH($C218,PRODUCTOS!$B$5:$B$44,0))),"")</f>
        <v/>
      </c>
      <c r="J218" s="30">
        <f>IFERROR(IF($C218="","",$H218-$I218),"")</f>
        <v/>
      </c>
      <c r="K218" s="28" t="n"/>
      <c r="L218" s="28" t="n"/>
    </row>
    <row r="219">
      <c r="A219" s="26" t="n"/>
      <c r="B219" s="27">
        <f>IF($A219="","",TEXT($A219,"YYYY-MM"))</f>
        <v/>
      </c>
      <c r="C219" s="28" t="n"/>
      <c r="D219" s="29" t="n"/>
      <c r="E219" s="17">
        <f>IFERROR(IF($C219="","",INDEX(PRODUCTOS!$E$5:$E$44,MATCH($C219,PRODUCTOS!$B$5:$B$44,0))),"")</f>
        <v/>
      </c>
      <c r="F219" s="17">
        <f>IFERROR(IF($C219="","",$D219*$E219),"")</f>
        <v/>
      </c>
      <c r="G219" s="17">
        <f>IFERROR(IF($C219="","",$F219-$H219),"")</f>
        <v/>
      </c>
      <c r="H219" s="17">
        <f>IFERROR(IF($C219="","",$F219/(1+INICIO!$C$5)),"")</f>
        <v/>
      </c>
      <c r="I219" s="17">
        <f>IFERROR(IF($C219="","",$D219*INDEX(PRODUCTOS!$D$5:$D$44,MATCH($C219,PRODUCTOS!$B$5:$B$44,0))),"")</f>
        <v/>
      </c>
      <c r="J219" s="30">
        <f>IFERROR(IF($C219="","",$H219-$I219),"")</f>
        <v/>
      </c>
      <c r="K219" s="28" t="n"/>
      <c r="L219" s="28" t="n"/>
    </row>
    <row r="220">
      <c r="A220" s="26" t="n"/>
      <c r="B220" s="27">
        <f>IF($A220="","",TEXT($A220,"YYYY-MM"))</f>
        <v/>
      </c>
      <c r="C220" s="28" t="n"/>
      <c r="D220" s="29" t="n"/>
      <c r="E220" s="17">
        <f>IFERROR(IF($C220="","",INDEX(PRODUCTOS!$E$5:$E$44,MATCH($C220,PRODUCTOS!$B$5:$B$44,0))),"")</f>
        <v/>
      </c>
      <c r="F220" s="17">
        <f>IFERROR(IF($C220="","",$D220*$E220),"")</f>
        <v/>
      </c>
      <c r="G220" s="17">
        <f>IFERROR(IF($C220="","",$F220-$H220),"")</f>
        <v/>
      </c>
      <c r="H220" s="17">
        <f>IFERROR(IF($C220="","",$F220/(1+INICIO!$C$5)),"")</f>
        <v/>
      </c>
      <c r="I220" s="17">
        <f>IFERROR(IF($C220="","",$D220*INDEX(PRODUCTOS!$D$5:$D$44,MATCH($C220,PRODUCTOS!$B$5:$B$44,0))),"")</f>
        <v/>
      </c>
      <c r="J220" s="30">
        <f>IFERROR(IF($C220="","",$H220-$I220),"")</f>
        <v/>
      </c>
      <c r="K220" s="28" t="n"/>
      <c r="L220" s="28" t="n"/>
    </row>
    <row r="221">
      <c r="A221" s="26" t="n"/>
      <c r="B221" s="27">
        <f>IF($A221="","",TEXT($A221,"YYYY-MM"))</f>
        <v/>
      </c>
      <c r="C221" s="28" t="n"/>
      <c r="D221" s="29" t="n"/>
      <c r="E221" s="17">
        <f>IFERROR(IF($C221="","",INDEX(PRODUCTOS!$E$5:$E$44,MATCH($C221,PRODUCTOS!$B$5:$B$44,0))),"")</f>
        <v/>
      </c>
      <c r="F221" s="17">
        <f>IFERROR(IF($C221="","",$D221*$E221),"")</f>
        <v/>
      </c>
      <c r="G221" s="17">
        <f>IFERROR(IF($C221="","",$F221-$H221),"")</f>
        <v/>
      </c>
      <c r="H221" s="17">
        <f>IFERROR(IF($C221="","",$F221/(1+INICIO!$C$5)),"")</f>
        <v/>
      </c>
      <c r="I221" s="17">
        <f>IFERROR(IF($C221="","",$D221*INDEX(PRODUCTOS!$D$5:$D$44,MATCH($C221,PRODUCTOS!$B$5:$B$44,0))),"")</f>
        <v/>
      </c>
      <c r="J221" s="30">
        <f>IFERROR(IF($C221="","",$H221-$I221),"")</f>
        <v/>
      </c>
      <c r="K221" s="28" t="n"/>
      <c r="L221" s="28" t="n"/>
    </row>
    <row r="222">
      <c r="A222" s="26" t="n"/>
      <c r="B222" s="27">
        <f>IF($A222="","",TEXT($A222,"YYYY-MM"))</f>
        <v/>
      </c>
      <c r="C222" s="28" t="n"/>
      <c r="D222" s="29" t="n"/>
      <c r="E222" s="17">
        <f>IFERROR(IF($C222="","",INDEX(PRODUCTOS!$E$5:$E$44,MATCH($C222,PRODUCTOS!$B$5:$B$44,0))),"")</f>
        <v/>
      </c>
      <c r="F222" s="17">
        <f>IFERROR(IF($C222="","",$D222*$E222),"")</f>
        <v/>
      </c>
      <c r="G222" s="17">
        <f>IFERROR(IF($C222="","",$F222-$H222),"")</f>
        <v/>
      </c>
      <c r="H222" s="17">
        <f>IFERROR(IF($C222="","",$F222/(1+INICIO!$C$5)),"")</f>
        <v/>
      </c>
      <c r="I222" s="17">
        <f>IFERROR(IF($C222="","",$D222*INDEX(PRODUCTOS!$D$5:$D$44,MATCH($C222,PRODUCTOS!$B$5:$B$44,0))),"")</f>
        <v/>
      </c>
      <c r="J222" s="30">
        <f>IFERROR(IF($C222="","",$H222-$I222),"")</f>
        <v/>
      </c>
      <c r="K222" s="28" t="n"/>
      <c r="L222" s="28" t="n"/>
    </row>
    <row r="223">
      <c r="A223" s="26" t="n"/>
      <c r="B223" s="27">
        <f>IF($A223="","",TEXT($A223,"YYYY-MM"))</f>
        <v/>
      </c>
      <c r="C223" s="28" t="n"/>
      <c r="D223" s="29" t="n"/>
      <c r="E223" s="17">
        <f>IFERROR(IF($C223="","",INDEX(PRODUCTOS!$E$5:$E$44,MATCH($C223,PRODUCTOS!$B$5:$B$44,0))),"")</f>
        <v/>
      </c>
      <c r="F223" s="17">
        <f>IFERROR(IF($C223="","",$D223*$E223),"")</f>
        <v/>
      </c>
      <c r="G223" s="17">
        <f>IFERROR(IF($C223="","",$F223-$H223),"")</f>
        <v/>
      </c>
      <c r="H223" s="17">
        <f>IFERROR(IF($C223="","",$F223/(1+INICIO!$C$5)),"")</f>
        <v/>
      </c>
      <c r="I223" s="17">
        <f>IFERROR(IF($C223="","",$D223*INDEX(PRODUCTOS!$D$5:$D$44,MATCH($C223,PRODUCTOS!$B$5:$B$44,0))),"")</f>
        <v/>
      </c>
      <c r="J223" s="30">
        <f>IFERROR(IF($C223="","",$H223-$I223),"")</f>
        <v/>
      </c>
      <c r="K223" s="28" t="n"/>
      <c r="L223" s="28" t="n"/>
    </row>
    <row r="224">
      <c r="A224" s="26" t="n"/>
      <c r="B224" s="27">
        <f>IF($A224="","",TEXT($A224,"YYYY-MM"))</f>
        <v/>
      </c>
      <c r="C224" s="28" t="n"/>
      <c r="D224" s="29" t="n"/>
      <c r="E224" s="17">
        <f>IFERROR(IF($C224="","",INDEX(PRODUCTOS!$E$5:$E$44,MATCH($C224,PRODUCTOS!$B$5:$B$44,0))),"")</f>
        <v/>
      </c>
      <c r="F224" s="17">
        <f>IFERROR(IF($C224="","",$D224*$E224),"")</f>
        <v/>
      </c>
      <c r="G224" s="17">
        <f>IFERROR(IF($C224="","",$F224-$H224),"")</f>
        <v/>
      </c>
      <c r="H224" s="17">
        <f>IFERROR(IF($C224="","",$F224/(1+INICIO!$C$5)),"")</f>
        <v/>
      </c>
      <c r="I224" s="17">
        <f>IFERROR(IF($C224="","",$D224*INDEX(PRODUCTOS!$D$5:$D$44,MATCH($C224,PRODUCTOS!$B$5:$B$44,0))),"")</f>
        <v/>
      </c>
      <c r="J224" s="30">
        <f>IFERROR(IF($C224="","",$H224-$I224),"")</f>
        <v/>
      </c>
      <c r="K224" s="28" t="n"/>
      <c r="L224" s="28" t="n"/>
    </row>
    <row r="225">
      <c r="A225" s="26" t="n"/>
      <c r="B225" s="27">
        <f>IF($A225="","",TEXT($A225,"YYYY-MM"))</f>
        <v/>
      </c>
      <c r="C225" s="28" t="n"/>
      <c r="D225" s="29" t="n"/>
      <c r="E225" s="17">
        <f>IFERROR(IF($C225="","",INDEX(PRODUCTOS!$E$5:$E$44,MATCH($C225,PRODUCTOS!$B$5:$B$44,0))),"")</f>
        <v/>
      </c>
      <c r="F225" s="17">
        <f>IFERROR(IF($C225="","",$D225*$E225),"")</f>
        <v/>
      </c>
      <c r="G225" s="17">
        <f>IFERROR(IF($C225="","",$F225-$H225),"")</f>
        <v/>
      </c>
      <c r="H225" s="17">
        <f>IFERROR(IF($C225="","",$F225/(1+INICIO!$C$5)),"")</f>
        <v/>
      </c>
      <c r="I225" s="17">
        <f>IFERROR(IF($C225="","",$D225*INDEX(PRODUCTOS!$D$5:$D$44,MATCH($C225,PRODUCTOS!$B$5:$B$44,0))),"")</f>
        <v/>
      </c>
      <c r="J225" s="30">
        <f>IFERROR(IF($C225="","",$H225-$I225),"")</f>
        <v/>
      </c>
      <c r="K225" s="28" t="n"/>
      <c r="L225" s="28" t="n"/>
    </row>
    <row r="226">
      <c r="A226" s="26" t="n"/>
      <c r="B226" s="27">
        <f>IF($A226="","",TEXT($A226,"YYYY-MM"))</f>
        <v/>
      </c>
      <c r="C226" s="28" t="n"/>
      <c r="D226" s="29" t="n"/>
      <c r="E226" s="17">
        <f>IFERROR(IF($C226="","",INDEX(PRODUCTOS!$E$5:$E$44,MATCH($C226,PRODUCTOS!$B$5:$B$44,0))),"")</f>
        <v/>
      </c>
      <c r="F226" s="17">
        <f>IFERROR(IF($C226="","",$D226*$E226),"")</f>
        <v/>
      </c>
      <c r="G226" s="17">
        <f>IFERROR(IF($C226="","",$F226-$H226),"")</f>
        <v/>
      </c>
      <c r="H226" s="17">
        <f>IFERROR(IF($C226="","",$F226/(1+INICIO!$C$5)),"")</f>
        <v/>
      </c>
      <c r="I226" s="17">
        <f>IFERROR(IF($C226="","",$D226*INDEX(PRODUCTOS!$D$5:$D$44,MATCH($C226,PRODUCTOS!$B$5:$B$44,0))),"")</f>
        <v/>
      </c>
      <c r="J226" s="30">
        <f>IFERROR(IF($C226="","",$H226-$I226),"")</f>
        <v/>
      </c>
      <c r="K226" s="28" t="n"/>
      <c r="L226" s="28" t="n"/>
    </row>
    <row r="227">
      <c r="A227" s="26" t="n"/>
      <c r="B227" s="27">
        <f>IF($A227="","",TEXT($A227,"YYYY-MM"))</f>
        <v/>
      </c>
      <c r="C227" s="28" t="n"/>
      <c r="D227" s="29" t="n"/>
      <c r="E227" s="17">
        <f>IFERROR(IF($C227="","",INDEX(PRODUCTOS!$E$5:$E$44,MATCH($C227,PRODUCTOS!$B$5:$B$44,0))),"")</f>
        <v/>
      </c>
      <c r="F227" s="17">
        <f>IFERROR(IF($C227="","",$D227*$E227),"")</f>
        <v/>
      </c>
      <c r="G227" s="17">
        <f>IFERROR(IF($C227="","",$F227-$H227),"")</f>
        <v/>
      </c>
      <c r="H227" s="17">
        <f>IFERROR(IF($C227="","",$F227/(1+INICIO!$C$5)),"")</f>
        <v/>
      </c>
      <c r="I227" s="17">
        <f>IFERROR(IF($C227="","",$D227*INDEX(PRODUCTOS!$D$5:$D$44,MATCH($C227,PRODUCTOS!$B$5:$B$44,0))),"")</f>
        <v/>
      </c>
      <c r="J227" s="30">
        <f>IFERROR(IF($C227="","",$H227-$I227),"")</f>
        <v/>
      </c>
      <c r="K227" s="28" t="n"/>
      <c r="L227" s="28" t="n"/>
    </row>
    <row r="228">
      <c r="A228" s="26" t="n"/>
      <c r="B228" s="27">
        <f>IF($A228="","",TEXT($A228,"YYYY-MM"))</f>
        <v/>
      </c>
      <c r="C228" s="28" t="n"/>
      <c r="D228" s="29" t="n"/>
      <c r="E228" s="17">
        <f>IFERROR(IF($C228="","",INDEX(PRODUCTOS!$E$5:$E$44,MATCH($C228,PRODUCTOS!$B$5:$B$44,0))),"")</f>
        <v/>
      </c>
      <c r="F228" s="17">
        <f>IFERROR(IF($C228="","",$D228*$E228),"")</f>
        <v/>
      </c>
      <c r="G228" s="17">
        <f>IFERROR(IF($C228="","",$F228-$H228),"")</f>
        <v/>
      </c>
      <c r="H228" s="17">
        <f>IFERROR(IF($C228="","",$F228/(1+INICIO!$C$5)),"")</f>
        <v/>
      </c>
      <c r="I228" s="17">
        <f>IFERROR(IF($C228="","",$D228*INDEX(PRODUCTOS!$D$5:$D$44,MATCH($C228,PRODUCTOS!$B$5:$B$44,0))),"")</f>
        <v/>
      </c>
      <c r="J228" s="30">
        <f>IFERROR(IF($C228="","",$H228-$I228),"")</f>
        <v/>
      </c>
      <c r="K228" s="28" t="n"/>
      <c r="L228" s="28" t="n"/>
    </row>
    <row r="229">
      <c r="A229" s="26" t="n"/>
      <c r="B229" s="27">
        <f>IF($A229="","",TEXT($A229,"YYYY-MM"))</f>
        <v/>
      </c>
      <c r="C229" s="28" t="n"/>
      <c r="D229" s="29" t="n"/>
      <c r="E229" s="17">
        <f>IFERROR(IF($C229="","",INDEX(PRODUCTOS!$E$5:$E$44,MATCH($C229,PRODUCTOS!$B$5:$B$44,0))),"")</f>
        <v/>
      </c>
      <c r="F229" s="17">
        <f>IFERROR(IF($C229="","",$D229*$E229),"")</f>
        <v/>
      </c>
      <c r="G229" s="17">
        <f>IFERROR(IF($C229="","",$F229-$H229),"")</f>
        <v/>
      </c>
      <c r="H229" s="17">
        <f>IFERROR(IF($C229="","",$F229/(1+INICIO!$C$5)),"")</f>
        <v/>
      </c>
      <c r="I229" s="17">
        <f>IFERROR(IF($C229="","",$D229*INDEX(PRODUCTOS!$D$5:$D$44,MATCH($C229,PRODUCTOS!$B$5:$B$44,0))),"")</f>
        <v/>
      </c>
      <c r="J229" s="30">
        <f>IFERROR(IF($C229="","",$H229-$I229),"")</f>
        <v/>
      </c>
      <c r="K229" s="28" t="n"/>
      <c r="L229" s="28" t="n"/>
    </row>
    <row r="230">
      <c r="A230" s="26" t="n"/>
      <c r="B230" s="27">
        <f>IF($A230="","",TEXT($A230,"YYYY-MM"))</f>
        <v/>
      </c>
      <c r="C230" s="28" t="n"/>
      <c r="D230" s="29" t="n"/>
      <c r="E230" s="17">
        <f>IFERROR(IF($C230="","",INDEX(PRODUCTOS!$E$5:$E$44,MATCH($C230,PRODUCTOS!$B$5:$B$44,0))),"")</f>
        <v/>
      </c>
      <c r="F230" s="17">
        <f>IFERROR(IF($C230="","",$D230*$E230),"")</f>
        <v/>
      </c>
      <c r="G230" s="17">
        <f>IFERROR(IF($C230="","",$F230-$H230),"")</f>
        <v/>
      </c>
      <c r="H230" s="17">
        <f>IFERROR(IF($C230="","",$F230/(1+INICIO!$C$5)),"")</f>
        <v/>
      </c>
      <c r="I230" s="17">
        <f>IFERROR(IF($C230="","",$D230*INDEX(PRODUCTOS!$D$5:$D$44,MATCH($C230,PRODUCTOS!$B$5:$B$44,0))),"")</f>
        <v/>
      </c>
      <c r="J230" s="30">
        <f>IFERROR(IF($C230="","",$H230-$I230),"")</f>
        <v/>
      </c>
      <c r="K230" s="28" t="n"/>
      <c r="L230" s="28" t="n"/>
    </row>
    <row r="231">
      <c r="A231" s="26" t="n"/>
      <c r="B231" s="27">
        <f>IF($A231="","",TEXT($A231,"YYYY-MM"))</f>
        <v/>
      </c>
      <c r="C231" s="28" t="n"/>
      <c r="D231" s="29" t="n"/>
      <c r="E231" s="17">
        <f>IFERROR(IF($C231="","",INDEX(PRODUCTOS!$E$5:$E$44,MATCH($C231,PRODUCTOS!$B$5:$B$44,0))),"")</f>
        <v/>
      </c>
      <c r="F231" s="17">
        <f>IFERROR(IF($C231="","",$D231*$E231),"")</f>
        <v/>
      </c>
      <c r="G231" s="17">
        <f>IFERROR(IF($C231="","",$F231-$H231),"")</f>
        <v/>
      </c>
      <c r="H231" s="17">
        <f>IFERROR(IF($C231="","",$F231/(1+INICIO!$C$5)),"")</f>
        <v/>
      </c>
      <c r="I231" s="17">
        <f>IFERROR(IF($C231="","",$D231*INDEX(PRODUCTOS!$D$5:$D$44,MATCH($C231,PRODUCTOS!$B$5:$B$44,0))),"")</f>
        <v/>
      </c>
      <c r="J231" s="30">
        <f>IFERROR(IF($C231="","",$H231-$I231),"")</f>
        <v/>
      </c>
      <c r="K231" s="28" t="n"/>
      <c r="L231" s="28" t="n"/>
    </row>
    <row r="232">
      <c r="A232" s="26" t="n"/>
      <c r="B232" s="27">
        <f>IF($A232="","",TEXT($A232,"YYYY-MM"))</f>
        <v/>
      </c>
      <c r="C232" s="28" t="n"/>
      <c r="D232" s="29" t="n"/>
      <c r="E232" s="17">
        <f>IFERROR(IF($C232="","",INDEX(PRODUCTOS!$E$5:$E$44,MATCH($C232,PRODUCTOS!$B$5:$B$44,0))),"")</f>
        <v/>
      </c>
      <c r="F232" s="17">
        <f>IFERROR(IF($C232="","",$D232*$E232),"")</f>
        <v/>
      </c>
      <c r="G232" s="17">
        <f>IFERROR(IF($C232="","",$F232-$H232),"")</f>
        <v/>
      </c>
      <c r="H232" s="17">
        <f>IFERROR(IF($C232="","",$F232/(1+INICIO!$C$5)),"")</f>
        <v/>
      </c>
      <c r="I232" s="17">
        <f>IFERROR(IF($C232="","",$D232*INDEX(PRODUCTOS!$D$5:$D$44,MATCH($C232,PRODUCTOS!$B$5:$B$44,0))),"")</f>
        <v/>
      </c>
      <c r="J232" s="30">
        <f>IFERROR(IF($C232="","",$H232-$I232),"")</f>
        <v/>
      </c>
      <c r="K232" s="28" t="n"/>
      <c r="L232" s="28" t="n"/>
    </row>
    <row r="233">
      <c r="A233" s="26" t="n"/>
      <c r="B233" s="27">
        <f>IF($A233="","",TEXT($A233,"YYYY-MM"))</f>
        <v/>
      </c>
      <c r="C233" s="28" t="n"/>
      <c r="D233" s="29" t="n"/>
      <c r="E233" s="17">
        <f>IFERROR(IF($C233="","",INDEX(PRODUCTOS!$E$5:$E$44,MATCH($C233,PRODUCTOS!$B$5:$B$44,0))),"")</f>
        <v/>
      </c>
      <c r="F233" s="17">
        <f>IFERROR(IF($C233="","",$D233*$E233),"")</f>
        <v/>
      </c>
      <c r="G233" s="17">
        <f>IFERROR(IF($C233="","",$F233-$H233),"")</f>
        <v/>
      </c>
      <c r="H233" s="17">
        <f>IFERROR(IF($C233="","",$F233/(1+INICIO!$C$5)),"")</f>
        <v/>
      </c>
      <c r="I233" s="17">
        <f>IFERROR(IF($C233="","",$D233*INDEX(PRODUCTOS!$D$5:$D$44,MATCH($C233,PRODUCTOS!$B$5:$B$44,0))),"")</f>
        <v/>
      </c>
      <c r="J233" s="30">
        <f>IFERROR(IF($C233="","",$H233-$I233),"")</f>
        <v/>
      </c>
      <c r="K233" s="28" t="n"/>
      <c r="L233" s="28" t="n"/>
    </row>
    <row r="234">
      <c r="A234" s="26" t="n"/>
      <c r="B234" s="27">
        <f>IF($A234="","",TEXT($A234,"YYYY-MM"))</f>
        <v/>
      </c>
      <c r="C234" s="28" t="n"/>
      <c r="D234" s="29" t="n"/>
      <c r="E234" s="17">
        <f>IFERROR(IF($C234="","",INDEX(PRODUCTOS!$E$5:$E$44,MATCH($C234,PRODUCTOS!$B$5:$B$44,0))),"")</f>
        <v/>
      </c>
      <c r="F234" s="17">
        <f>IFERROR(IF($C234="","",$D234*$E234),"")</f>
        <v/>
      </c>
      <c r="G234" s="17">
        <f>IFERROR(IF($C234="","",$F234-$H234),"")</f>
        <v/>
      </c>
      <c r="H234" s="17">
        <f>IFERROR(IF($C234="","",$F234/(1+INICIO!$C$5)),"")</f>
        <v/>
      </c>
      <c r="I234" s="17">
        <f>IFERROR(IF($C234="","",$D234*INDEX(PRODUCTOS!$D$5:$D$44,MATCH($C234,PRODUCTOS!$B$5:$B$44,0))),"")</f>
        <v/>
      </c>
      <c r="J234" s="30">
        <f>IFERROR(IF($C234="","",$H234-$I234),"")</f>
        <v/>
      </c>
      <c r="K234" s="28" t="n"/>
      <c r="L234" s="28" t="n"/>
    </row>
    <row r="235">
      <c r="A235" s="26" t="n"/>
      <c r="B235" s="27">
        <f>IF($A235="","",TEXT($A235,"YYYY-MM"))</f>
        <v/>
      </c>
      <c r="C235" s="28" t="n"/>
      <c r="D235" s="29" t="n"/>
      <c r="E235" s="17">
        <f>IFERROR(IF($C235="","",INDEX(PRODUCTOS!$E$5:$E$44,MATCH($C235,PRODUCTOS!$B$5:$B$44,0))),"")</f>
        <v/>
      </c>
      <c r="F235" s="17">
        <f>IFERROR(IF($C235="","",$D235*$E235),"")</f>
        <v/>
      </c>
      <c r="G235" s="17">
        <f>IFERROR(IF($C235="","",$F235-$H235),"")</f>
        <v/>
      </c>
      <c r="H235" s="17">
        <f>IFERROR(IF($C235="","",$F235/(1+INICIO!$C$5)),"")</f>
        <v/>
      </c>
      <c r="I235" s="17">
        <f>IFERROR(IF($C235="","",$D235*INDEX(PRODUCTOS!$D$5:$D$44,MATCH($C235,PRODUCTOS!$B$5:$B$44,0))),"")</f>
        <v/>
      </c>
      <c r="J235" s="30">
        <f>IFERROR(IF($C235="","",$H235-$I235),"")</f>
        <v/>
      </c>
      <c r="K235" s="28" t="n"/>
      <c r="L235" s="28" t="n"/>
    </row>
    <row r="236">
      <c r="A236" s="26" t="n"/>
      <c r="B236" s="27">
        <f>IF($A236="","",TEXT($A236,"YYYY-MM"))</f>
        <v/>
      </c>
      <c r="C236" s="28" t="n"/>
      <c r="D236" s="29" t="n"/>
      <c r="E236" s="17">
        <f>IFERROR(IF($C236="","",INDEX(PRODUCTOS!$E$5:$E$44,MATCH($C236,PRODUCTOS!$B$5:$B$44,0))),"")</f>
        <v/>
      </c>
      <c r="F236" s="17">
        <f>IFERROR(IF($C236="","",$D236*$E236),"")</f>
        <v/>
      </c>
      <c r="G236" s="17">
        <f>IFERROR(IF($C236="","",$F236-$H236),"")</f>
        <v/>
      </c>
      <c r="H236" s="17">
        <f>IFERROR(IF($C236="","",$F236/(1+INICIO!$C$5)),"")</f>
        <v/>
      </c>
      <c r="I236" s="17">
        <f>IFERROR(IF($C236="","",$D236*INDEX(PRODUCTOS!$D$5:$D$44,MATCH($C236,PRODUCTOS!$B$5:$B$44,0))),"")</f>
        <v/>
      </c>
      <c r="J236" s="30">
        <f>IFERROR(IF($C236="","",$H236-$I236),"")</f>
        <v/>
      </c>
      <c r="K236" s="28" t="n"/>
      <c r="L236" s="28" t="n"/>
    </row>
    <row r="237">
      <c r="A237" s="26" t="n"/>
      <c r="B237" s="27">
        <f>IF($A237="","",TEXT($A237,"YYYY-MM"))</f>
        <v/>
      </c>
      <c r="C237" s="28" t="n"/>
      <c r="D237" s="29" t="n"/>
      <c r="E237" s="17">
        <f>IFERROR(IF($C237="","",INDEX(PRODUCTOS!$E$5:$E$44,MATCH($C237,PRODUCTOS!$B$5:$B$44,0))),"")</f>
        <v/>
      </c>
      <c r="F237" s="17">
        <f>IFERROR(IF($C237="","",$D237*$E237),"")</f>
        <v/>
      </c>
      <c r="G237" s="17">
        <f>IFERROR(IF($C237="","",$F237-$H237),"")</f>
        <v/>
      </c>
      <c r="H237" s="17">
        <f>IFERROR(IF($C237="","",$F237/(1+INICIO!$C$5)),"")</f>
        <v/>
      </c>
      <c r="I237" s="17">
        <f>IFERROR(IF($C237="","",$D237*INDEX(PRODUCTOS!$D$5:$D$44,MATCH($C237,PRODUCTOS!$B$5:$B$44,0))),"")</f>
        <v/>
      </c>
      <c r="J237" s="30">
        <f>IFERROR(IF($C237="","",$H237-$I237),"")</f>
        <v/>
      </c>
      <c r="K237" s="28" t="n"/>
      <c r="L237" s="28" t="n"/>
    </row>
    <row r="238">
      <c r="A238" s="26" t="n"/>
      <c r="B238" s="27">
        <f>IF($A238="","",TEXT($A238,"YYYY-MM"))</f>
        <v/>
      </c>
      <c r="C238" s="28" t="n"/>
      <c r="D238" s="29" t="n"/>
      <c r="E238" s="17">
        <f>IFERROR(IF($C238="","",INDEX(PRODUCTOS!$E$5:$E$44,MATCH($C238,PRODUCTOS!$B$5:$B$44,0))),"")</f>
        <v/>
      </c>
      <c r="F238" s="17">
        <f>IFERROR(IF($C238="","",$D238*$E238),"")</f>
        <v/>
      </c>
      <c r="G238" s="17">
        <f>IFERROR(IF($C238="","",$F238-$H238),"")</f>
        <v/>
      </c>
      <c r="H238" s="17">
        <f>IFERROR(IF($C238="","",$F238/(1+INICIO!$C$5)),"")</f>
        <v/>
      </c>
      <c r="I238" s="17">
        <f>IFERROR(IF($C238="","",$D238*INDEX(PRODUCTOS!$D$5:$D$44,MATCH($C238,PRODUCTOS!$B$5:$B$44,0))),"")</f>
        <v/>
      </c>
      <c r="J238" s="30">
        <f>IFERROR(IF($C238="","",$H238-$I238),"")</f>
        <v/>
      </c>
      <c r="K238" s="28" t="n"/>
      <c r="L238" s="28" t="n"/>
    </row>
    <row r="239">
      <c r="A239" s="26" t="n"/>
      <c r="B239" s="27">
        <f>IF($A239="","",TEXT($A239,"YYYY-MM"))</f>
        <v/>
      </c>
      <c r="C239" s="28" t="n"/>
      <c r="D239" s="29" t="n"/>
      <c r="E239" s="17">
        <f>IFERROR(IF($C239="","",INDEX(PRODUCTOS!$E$5:$E$44,MATCH($C239,PRODUCTOS!$B$5:$B$44,0))),"")</f>
        <v/>
      </c>
      <c r="F239" s="17">
        <f>IFERROR(IF($C239="","",$D239*$E239),"")</f>
        <v/>
      </c>
      <c r="G239" s="17">
        <f>IFERROR(IF($C239="","",$F239-$H239),"")</f>
        <v/>
      </c>
      <c r="H239" s="17">
        <f>IFERROR(IF($C239="","",$F239/(1+INICIO!$C$5)),"")</f>
        <v/>
      </c>
      <c r="I239" s="17">
        <f>IFERROR(IF($C239="","",$D239*INDEX(PRODUCTOS!$D$5:$D$44,MATCH($C239,PRODUCTOS!$B$5:$B$44,0))),"")</f>
        <v/>
      </c>
      <c r="J239" s="30">
        <f>IFERROR(IF($C239="","",$H239-$I239),"")</f>
        <v/>
      </c>
      <c r="K239" s="28" t="n"/>
      <c r="L239" s="28" t="n"/>
    </row>
    <row r="240">
      <c r="A240" s="26" t="n"/>
      <c r="B240" s="27">
        <f>IF($A240="","",TEXT($A240,"YYYY-MM"))</f>
        <v/>
      </c>
      <c r="C240" s="28" t="n"/>
      <c r="D240" s="29" t="n"/>
      <c r="E240" s="17">
        <f>IFERROR(IF($C240="","",INDEX(PRODUCTOS!$E$5:$E$44,MATCH($C240,PRODUCTOS!$B$5:$B$44,0))),"")</f>
        <v/>
      </c>
      <c r="F240" s="17">
        <f>IFERROR(IF($C240="","",$D240*$E240),"")</f>
        <v/>
      </c>
      <c r="G240" s="17">
        <f>IFERROR(IF($C240="","",$F240-$H240),"")</f>
        <v/>
      </c>
      <c r="H240" s="17">
        <f>IFERROR(IF($C240="","",$F240/(1+INICIO!$C$5)),"")</f>
        <v/>
      </c>
      <c r="I240" s="17">
        <f>IFERROR(IF($C240="","",$D240*INDEX(PRODUCTOS!$D$5:$D$44,MATCH($C240,PRODUCTOS!$B$5:$B$44,0))),"")</f>
        <v/>
      </c>
      <c r="J240" s="30">
        <f>IFERROR(IF($C240="","",$H240-$I240),"")</f>
        <v/>
      </c>
      <c r="K240" s="28" t="n"/>
      <c r="L240" s="28" t="n"/>
    </row>
    <row r="241">
      <c r="A241" s="26" t="n"/>
      <c r="B241" s="27">
        <f>IF($A241="","",TEXT($A241,"YYYY-MM"))</f>
        <v/>
      </c>
      <c r="C241" s="28" t="n"/>
      <c r="D241" s="29" t="n"/>
      <c r="E241" s="17">
        <f>IFERROR(IF($C241="","",INDEX(PRODUCTOS!$E$5:$E$44,MATCH($C241,PRODUCTOS!$B$5:$B$44,0))),"")</f>
        <v/>
      </c>
      <c r="F241" s="17">
        <f>IFERROR(IF($C241="","",$D241*$E241),"")</f>
        <v/>
      </c>
      <c r="G241" s="17">
        <f>IFERROR(IF($C241="","",$F241-$H241),"")</f>
        <v/>
      </c>
      <c r="H241" s="17">
        <f>IFERROR(IF($C241="","",$F241/(1+INICIO!$C$5)),"")</f>
        <v/>
      </c>
      <c r="I241" s="17">
        <f>IFERROR(IF($C241="","",$D241*INDEX(PRODUCTOS!$D$5:$D$44,MATCH($C241,PRODUCTOS!$B$5:$B$44,0))),"")</f>
        <v/>
      </c>
      <c r="J241" s="30">
        <f>IFERROR(IF($C241="","",$H241-$I241),"")</f>
        <v/>
      </c>
      <c r="K241" s="28" t="n"/>
      <c r="L241" s="28" t="n"/>
    </row>
    <row r="242">
      <c r="A242" s="26" t="n"/>
      <c r="B242" s="27">
        <f>IF($A242="","",TEXT($A242,"YYYY-MM"))</f>
        <v/>
      </c>
      <c r="C242" s="28" t="n"/>
      <c r="D242" s="29" t="n"/>
      <c r="E242" s="17">
        <f>IFERROR(IF($C242="","",INDEX(PRODUCTOS!$E$5:$E$44,MATCH($C242,PRODUCTOS!$B$5:$B$44,0))),"")</f>
        <v/>
      </c>
      <c r="F242" s="17">
        <f>IFERROR(IF($C242="","",$D242*$E242),"")</f>
        <v/>
      </c>
      <c r="G242" s="17">
        <f>IFERROR(IF($C242="","",$F242-$H242),"")</f>
        <v/>
      </c>
      <c r="H242" s="17">
        <f>IFERROR(IF($C242="","",$F242/(1+INICIO!$C$5)),"")</f>
        <v/>
      </c>
      <c r="I242" s="17">
        <f>IFERROR(IF($C242="","",$D242*INDEX(PRODUCTOS!$D$5:$D$44,MATCH($C242,PRODUCTOS!$B$5:$B$44,0))),"")</f>
        <v/>
      </c>
      <c r="J242" s="30">
        <f>IFERROR(IF($C242="","",$H242-$I242),"")</f>
        <v/>
      </c>
      <c r="K242" s="28" t="n"/>
      <c r="L242" s="28" t="n"/>
    </row>
    <row r="243">
      <c r="A243" s="26" t="n"/>
      <c r="B243" s="27">
        <f>IF($A243="","",TEXT($A243,"YYYY-MM"))</f>
        <v/>
      </c>
      <c r="C243" s="28" t="n"/>
      <c r="D243" s="29" t="n"/>
      <c r="E243" s="17">
        <f>IFERROR(IF($C243="","",INDEX(PRODUCTOS!$E$5:$E$44,MATCH($C243,PRODUCTOS!$B$5:$B$44,0))),"")</f>
        <v/>
      </c>
      <c r="F243" s="17">
        <f>IFERROR(IF($C243="","",$D243*$E243),"")</f>
        <v/>
      </c>
      <c r="G243" s="17">
        <f>IFERROR(IF($C243="","",$F243-$H243),"")</f>
        <v/>
      </c>
      <c r="H243" s="17">
        <f>IFERROR(IF($C243="","",$F243/(1+INICIO!$C$5)),"")</f>
        <v/>
      </c>
      <c r="I243" s="17">
        <f>IFERROR(IF($C243="","",$D243*INDEX(PRODUCTOS!$D$5:$D$44,MATCH($C243,PRODUCTOS!$B$5:$B$44,0))),"")</f>
        <v/>
      </c>
      <c r="J243" s="30">
        <f>IFERROR(IF($C243="","",$H243-$I243),"")</f>
        <v/>
      </c>
      <c r="K243" s="28" t="n"/>
      <c r="L243" s="28" t="n"/>
    </row>
    <row r="244">
      <c r="A244" s="26" t="n"/>
      <c r="B244" s="27">
        <f>IF($A244="","",TEXT($A244,"YYYY-MM"))</f>
        <v/>
      </c>
      <c r="C244" s="28" t="n"/>
      <c r="D244" s="29" t="n"/>
      <c r="E244" s="17">
        <f>IFERROR(IF($C244="","",INDEX(PRODUCTOS!$E$5:$E$44,MATCH($C244,PRODUCTOS!$B$5:$B$44,0))),"")</f>
        <v/>
      </c>
      <c r="F244" s="17">
        <f>IFERROR(IF($C244="","",$D244*$E244),"")</f>
        <v/>
      </c>
      <c r="G244" s="17">
        <f>IFERROR(IF($C244="","",$F244-$H244),"")</f>
        <v/>
      </c>
      <c r="H244" s="17">
        <f>IFERROR(IF($C244="","",$F244/(1+INICIO!$C$5)),"")</f>
        <v/>
      </c>
      <c r="I244" s="17">
        <f>IFERROR(IF($C244="","",$D244*INDEX(PRODUCTOS!$D$5:$D$44,MATCH($C244,PRODUCTOS!$B$5:$B$44,0))),"")</f>
        <v/>
      </c>
      <c r="J244" s="30">
        <f>IFERROR(IF($C244="","",$H244-$I244),"")</f>
        <v/>
      </c>
      <c r="K244" s="28" t="n"/>
      <c r="L244" s="28" t="n"/>
    </row>
    <row r="245">
      <c r="A245" s="26" t="n"/>
      <c r="B245" s="27">
        <f>IF($A245="","",TEXT($A245,"YYYY-MM"))</f>
        <v/>
      </c>
      <c r="C245" s="28" t="n"/>
      <c r="D245" s="29" t="n"/>
      <c r="E245" s="17">
        <f>IFERROR(IF($C245="","",INDEX(PRODUCTOS!$E$5:$E$44,MATCH($C245,PRODUCTOS!$B$5:$B$44,0))),"")</f>
        <v/>
      </c>
      <c r="F245" s="17">
        <f>IFERROR(IF($C245="","",$D245*$E245),"")</f>
        <v/>
      </c>
      <c r="G245" s="17">
        <f>IFERROR(IF($C245="","",$F245-$H245),"")</f>
        <v/>
      </c>
      <c r="H245" s="17">
        <f>IFERROR(IF($C245="","",$F245/(1+INICIO!$C$5)),"")</f>
        <v/>
      </c>
      <c r="I245" s="17">
        <f>IFERROR(IF($C245="","",$D245*INDEX(PRODUCTOS!$D$5:$D$44,MATCH($C245,PRODUCTOS!$B$5:$B$44,0))),"")</f>
        <v/>
      </c>
      <c r="J245" s="30">
        <f>IFERROR(IF($C245="","",$H245-$I245),"")</f>
        <v/>
      </c>
      <c r="K245" s="28" t="n"/>
      <c r="L245" s="28" t="n"/>
    </row>
    <row r="246">
      <c r="A246" s="26" t="n"/>
      <c r="B246" s="27">
        <f>IF($A246="","",TEXT($A246,"YYYY-MM"))</f>
        <v/>
      </c>
      <c r="C246" s="28" t="n"/>
      <c r="D246" s="29" t="n"/>
      <c r="E246" s="17">
        <f>IFERROR(IF($C246="","",INDEX(PRODUCTOS!$E$5:$E$44,MATCH($C246,PRODUCTOS!$B$5:$B$44,0))),"")</f>
        <v/>
      </c>
      <c r="F246" s="17">
        <f>IFERROR(IF($C246="","",$D246*$E246),"")</f>
        <v/>
      </c>
      <c r="G246" s="17">
        <f>IFERROR(IF($C246="","",$F246-$H246),"")</f>
        <v/>
      </c>
      <c r="H246" s="17">
        <f>IFERROR(IF($C246="","",$F246/(1+INICIO!$C$5)),"")</f>
        <v/>
      </c>
      <c r="I246" s="17">
        <f>IFERROR(IF($C246="","",$D246*INDEX(PRODUCTOS!$D$5:$D$44,MATCH($C246,PRODUCTOS!$B$5:$B$44,0))),"")</f>
        <v/>
      </c>
      <c r="J246" s="30">
        <f>IFERROR(IF($C246="","",$H246-$I246),"")</f>
        <v/>
      </c>
      <c r="K246" s="28" t="n"/>
      <c r="L246" s="28" t="n"/>
    </row>
    <row r="247">
      <c r="A247" s="26" t="n"/>
      <c r="B247" s="27">
        <f>IF($A247="","",TEXT($A247,"YYYY-MM"))</f>
        <v/>
      </c>
      <c r="C247" s="28" t="n"/>
      <c r="D247" s="29" t="n"/>
      <c r="E247" s="17">
        <f>IFERROR(IF($C247="","",INDEX(PRODUCTOS!$E$5:$E$44,MATCH($C247,PRODUCTOS!$B$5:$B$44,0))),"")</f>
        <v/>
      </c>
      <c r="F247" s="17">
        <f>IFERROR(IF($C247="","",$D247*$E247),"")</f>
        <v/>
      </c>
      <c r="G247" s="17">
        <f>IFERROR(IF($C247="","",$F247-$H247),"")</f>
        <v/>
      </c>
      <c r="H247" s="17">
        <f>IFERROR(IF($C247="","",$F247/(1+INICIO!$C$5)),"")</f>
        <v/>
      </c>
      <c r="I247" s="17">
        <f>IFERROR(IF($C247="","",$D247*INDEX(PRODUCTOS!$D$5:$D$44,MATCH($C247,PRODUCTOS!$B$5:$B$44,0))),"")</f>
        <v/>
      </c>
      <c r="J247" s="30">
        <f>IFERROR(IF($C247="","",$H247-$I247),"")</f>
        <v/>
      </c>
      <c r="K247" s="28" t="n"/>
      <c r="L247" s="28" t="n"/>
    </row>
    <row r="248">
      <c r="A248" s="26" t="n"/>
      <c r="B248" s="27">
        <f>IF($A248="","",TEXT($A248,"YYYY-MM"))</f>
        <v/>
      </c>
      <c r="C248" s="28" t="n"/>
      <c r="D248" s="29" t="n"/>
      <c r="E248" s="17">
        <f>IFERROR(IF($C248="","",INDEX(PRODUCTOS!$E$5:$E$44,MATCH($C248,PRODUCTOS!$B$5:$B$44,0))),"")</f>
        <v/>
      </c>
      <c r="F248" s="17">
        <f>IFERROR(IF($C248="","",$D248*$E248),"")</f>
        <v/>
      </c>
      <c r="G248" s="17">
        <f>IFERROR(IF($C248="","",$F248-$H248),"")</f>
        <v/>
      </c>
      <c r="H248" s="17">
        <f>IFERROR(IF($C248="","",$F248/(1+INICIO!$C$5)),"")</f>
        <v/>
      </c>
      <c r="I248" s="17">
        <f>IFERROR(IF($C248="","",$D248*INDEX(PRODUCTOS!$D$5:$D$44,MATCH($C248,PRODUCTOS!$B$5:$B$44,0))),"")</f>
        <v/>
      </c>
      <c r="J248" s="30">
        <f>IFERROR(IF($C248="","",$H248-$I248),"")</f>
        <v/>
      </c>
      <c r="K248" s="28" t="n"/>
      <c r="L248" s="28" t="n"/>
    </row>
    <row r="249">
      <c r="A249" s="26" t="n"/>
      <c r="B249" s="27">
        <f>IF($A249="","",TEXT($A249,"YYYY-MM"))</f>
        <v/>
      </c>
      <c r="C249" s="28" t="n"/>
      <c r="D249" s="29" t="n"/>
      <c r="E249" s="17">
        <f>IFERROR(IF($C249="","",INDEX(PRODUCTOS!$E$5:$E$44,MATCH($C249,PRODUCTOS!$B$5:$B$44,0))),"")</f>
        <v/>
      </c>
      <c r="F249" s="17">
        <f>IFERROR(IF($C249="","",$D249*$E249),"")</f>
        <v/>
      </c>
      <c r="G249" s="17">
        <f>IFERROR(IF($C249="","",$F249-$H249),"")</f>
        <v/>
      </c>
      <c r="H249" s="17">
        <f>IFERROR(IF($C249="","",$F249/(1+INICIO!$C$5)),"")</f>
        <v/>
      </c>
      <c r="I249" s="17">
        <f>IFERROR(IF($C249="","",$D249*INDEX(PRODUCTOS!$D$5:$D$44,MATCH($C249,PRODUCTOS!$B$5:$B$44,0))),"")</f>
        <v/>
      </c>
      <c r="J249" s="30">
        <f>IFERROR(IF($C249="","",$H249-$I249),"")</f>
        <v/>
      </c>
      <c r="K249" s="28" t="n"/>
      <c r="L249" s="28" t="n"/>
    </row>
    <row r="250">
      <c r="A250" s="26" t="n"/>
      <c r="B250" s="27">
        <f>IF($A250="","",TEXT($A250,"YYYY-MM"))</f>
        <v/>
      </c>
      <c r="C250" s="28" t="n"/>
      <c r="D250" s="29" t="n"/>
      <c r="E250" s="17">
        <f>IFERROR(IF($C250="","",INDEX(PRODUCTOS!$E$5:$E$44,MATCH($C250,PRODUCTOS!$B$5:$B$44,0))),"")</f>
        <v/>
      </c>
      <c r="F250" s="17">
        <f>IFERROR(IF($C250="","",$D250*$E250),"")</f>
        <v/>
      </c>
      <c r="G250" s="17">
        <f>IFERROR(IF($C250="","",$F250-$H250),"")</f>
        <v/>
      </c>
      <c r="H250" s="17">
        <f>IFERROR(IF($C250="","",$F250/(1+INICIO!$C$5)),"")</f>
        <v/>
      </c>
      <c r="I250" s="17">
        <f>IFERROR(IF($C250="","",$D250*INDEX(PRODUCTOS!$D$5:$D$44,MATCH($C250,PRODUCTOS!$B$5:$B$44,0))),"")</f>
        <v/>
      </c>
      <c r="J250" s="30">
        <f>IFERROR(IF($C250="","",$H250-$I250),"")</f>
        <v/>
      </c>
      <c r="K250" s="28" t="n"/>
      <c r="L250" s="28" t="n"/>
    </row>
    <row r="251">
      <c r="A251" s="26" t="n"/>
      <c r="B251" s="27">
        <f>IF($A251="","",TEXT($A251,"YYYY-MM"))</f>
        <v/>
      </c>
      <c r="C251" s="28" t="n"/>
      <c r="D251" s="29" t="n"/>
      <c r="E251" s="17">
        <f>IFERROR(IF($C251="","",INDEX(PRODUCTOS!$E$5:$E$44,MATCH($C251,PRODUCTOS!$B$5:$B$44,0))),"")</f>
        <v/>
      </c>
      <c r="F251" s="17">
        <f>IFERROR(IF($C251="","",$D251*$E251),"")</f>
        <v/>
      </c>
      <c r="G251" s="17">
        <f>IFERROR(IF($C251="","",$F251-$H251),"")</f>
        <v/>
      </c>
      <c r="H251" s="17">
        <f>IFERROR(IF($C251="","",$F251/(1+INICIO!$C$5)),"")</f>
        <v/>
      </c>
      <c r="I251" s="17">
        <f>IFERROR(IF($C251="","",$D251*INDEX(PRODUCTOS!$D$5:$D$44,MATCH($C251,PRODUCTOS!$B$5:$B$44,0))),"")</f>
        <v/>
      </c>
      <c r="J251" s="30">
        <f>IFERROR(IF($C251="","",$H251-$I251),"")</f>
        <v/>
      </c>
      <c r="K251" s="28" t="n"/>
      <c r="L251" s="28" t="n"/>
    </row>
    <row r="252">
      <c r="A252" s="26" t="n"/>
      <c r="B252" s="27">
        <f>IF($A252="","",TEXT($A252,"YYYY-MM"))</f>
        <v/>
      </c>
      <c r="C252" s="28" t="n"/>
      <c r="D252" s="29" t="n"/>
      <c r="E252" s="17">
        <f>IFERROR(IF($C252="","",INDEX(PRODUCTOS!$E$5:$E$44,MATCH($C252,PRODUCTOS!$B$5:$B$44,0))),"")</f>
        <v/>
      </c>
      <c r="F252" s="17">
        <f>IFERROR(IF($C252="","",$D252*$E252),"")</f>
        <v/>
      </c>
      <c r="G252" s="17">
        <f>IFERROR(IF($C252="","",$F252-$H252),"")</f>
        <v/>
      </c>
      <c r="H252" s="17">
        <f>IFERROR(IF($C252="","",$F252/(1+INICIO!$C$5)),"")</f>
        <v/>
      </c>
      <c r="I252" s="17">
        <f>IFERROR(IF($C252="","",$D252*INDEX(PRODUCTOS!$D$5:$D$44,MATCH($C252,PRODUCTOS!$B$5:$B$44,0))),"")</f>
        <v/>
      </c>
      <c r="J252" s="30">
        <f>IFERROR(IF($C252="","",$H252-$I252),"")</f>
        <v/>
      </c>
      <c r="K252" s="28" t="n"/>
      <c r="L252" s="28" t="n"/>
    </row>
    <row r="253">
      <c r="A253" s="26" t="n"/>
      <c r="B253" s="27">
        <f>IF($A253="","",TEXT($A253,"YYYY-MM"))</f>
        <v/>
      </c>
      <c r="C253" s="28" t="n"/>
      <c r="D253" s="29" t="n"/>
      <c r="E253" s="17">
        <f>IFERROR(IF($C253="","",INDEX(PRODUCTOS!$E$5:$E$44,MATCH($C253,PRODUCTOS!$B$5:$B$44,0))),"")</f>
        <v/>
      </c>
      <c r="F253" s="17">
        <f>IFERROR(IF($C253="","",$D253*$E253),"")</f>
        <v/>
      </c>
      <c r="G253" s="17">
        <f>IFERROR(IF($C253="","",$F253-$H253),"")</f>
        <v/>
      </c>
      <c r="H253" s="17">
        <f>IFERROR(IF($C253="","",$F253/(1+INICIO!$C$5)),"")</f>
        <v/>
      </c>
      <c r="I253" s="17">
        <f>IFERROR(IF($C253="","",$D253*INDEX(PRODUCTOS!$D$5:$D$44,MATCH($C253,PRODUCTOS!$B$5:$B$44,0))),"")</f>
        <v/>
      </c>
      <c r="J253" s="30">
        <f>IFERROR(IF($C253="","",$H253-$I253),"")</f>
        <v/>
      </c>
      <c r="K253" s="28" t="n"/>
      <c r="L253" s="28" t="n"/>
    </row>
    <row r="254">
      <c r="A254" s="26" t="n"/>
      <c r="B254" s="27">
        <f>IF($A254="","",TEXT($A254,"YYYY-MM"))</f>
        <v/>
      </c>
      <c r="C254" s="28" t="n"/>
      <c r="D254" s="29" t="n"/>
      <c r="E254" s="17">
        <f>IFERROR(IF($C254="","",INDEX(PRODUCTOS!$E$5:$E$44,MATCH($C254,PRODUCTOS!$B$5:$B$44,0))),"")</f>
        <v/>
      </c>
      <c r="F254" s="17">
        <f>IFERROR(IF($C254="","",$D254*$E254),"")</f>
        <v/>
      </c>
      <c r="G254" s="17">
        <f>IFERROR(IF($C254="","",$F254-$H254),"")</f>
        <v/>
      </c>
      <c r="H254" s="17">
        <f>IFERROR(IF($C254="","",$F254/(1+INICIO!$C$5)),"")</f>
        <v/>
      </c>
      <c r="I254" s="17">
        <f>IFERROR(IF($C254="","",$D254*INDEX(PRODUCTOS!$D$5:$D$44,MATCH($C254,PRODUCTOS!$B$5:$B$44,0))),"")</f>
        <v/>
      </c>
      <c r="J254" s="30">
        <f>IFERROR(IF($C254="","",$H254-$I254),"")</f>
        <v/>
      </c>
      <c r="K254" s="28" t="n"/>
      <c r="L254" s="28" t="n"/>
    </row>
    <row r="255">
      <c r="A255" s="26" t="n"/>
      <c r="B255" s="27">
        <f>IF($A255="","",TEXT($A255,"YYYY-MM"))</f>
        <v/>
      </c>
      <c r="C255" s="28" t="n"/>
      <c r="D255" s="29" t="n"/>
      <c r="E255" s="17">
        <f>IFERROR(IF($C255="","",INDEX(PRODUCTOS!$E$5:$E$44,MATCH($C255,PRODUCTOS!$B$5:$B$44,0))),"")</f>
        <v/>
      </c>
      <c r="F255" s="17">
        <f>IFERROR(IF($C255="","",$D255*$E255),"")</f>
        <v/>
      </c>
      <c r="G255" s="17">
        <f>IFERROR(IF($C255="","",$F255-$H255),"")</f>
        <v/>
      </c>
      <c r="H255" s="17">
        <f>IFERROR(IF($C255="","",$F255/(1+INICIO!$C$5)),"")</f>
        <v/>
      </c>
      <c r="I255" s="17">
        <f>IFERROR(IF($C255="","",$D255*INDEX(PRODUCTOS!$D$5:$D$44,MATCH($C255,PRODUCTOS!$B$5:$B$44,0))),"")</f>
        <v/>
      </c>
      <c r="J255" s="30">
        <f>IFERROR(IF($C255="","",$H255-$I255),"")</f>
        <v/>
      </c>
      <c r="K255" s="28" t="n"/>
      <c r="L255" s="28" t="n"/>
    </row>
    <row r="256">
      <c r="A256" s="26" t="n"/>
      <c r="B256" s="27">
        <f>IF($A256="","",TEXT($A256,"YYYY-MM"))</f>
        <v/>
      </c>
      <c r="C256" s="28" t="n"/>
      <c r="D256" s="29" t="n"/>
      <c r="E256" s="17">
        <f>IFERROR(IF($C256="","",INDEX(PRODUCTOS!$E$5:$E$44,MATCH($C256,PRODUCTOS!$B$5:$B$44,0))),"")</f>
        <v/>
      </c>
      <c r="F256" s="17">
        <f>IFERROR(IF($C256="","",$D256*$E256),"")</f>
        <v/>
      </c>
      <c r="G256" s="17">
        <f>IFERROR(IF($C256="","",$F256-$H256),"")</f>
        <v/>
      </c>
      <c r="H256" s="17">
        <f>IFERROR(IF($C256="","",$F256/(1+INICIO!$C$5)),"")</f>
        <v/>
      </c>
      <c r="I256" s="17">
        <f>IFERROR(IF($C256="","",$D256*INDEX(PRODUCTOS!$D$5:$D$44,MATCH($C256,PRODUCTOS!$B$5:$B$44,0))),"")</f>
        <v/>
      </c>
      <c r="J256" s="30">
        <f>IFERROR(IF($C256="","",$H256-$I256),"")</f>
        <v/>
      </c>
      <c r="K256" s="28" t="n"/>
      <c r="L256" s="28" t="n"/>
    </row>
    <row r="257">
      <c r="A257" s="26" t="n"/>
      <c r="B257" s="27">
        <f>IF($A257="","",TEXT($A257,"YYYY-MM"))</f>
        <v/>
      </c>
      <c r="C257" s="28" t="n"/>
      <c r="D257" s="29" t="n"/>
      <c r="E257" s="17">
        <f>IFERROR(IF($C257="","",INDEX(PRODUCTOS!$E$5:$E$44,MATCH($C257,PRODUCTOS!$B$5:$B$44,0))),"")</f>
        <v/>
      </c>
      <c r="F257" s="17">
        <f>IFERROR(IF($C257="","",$D257*$E257),"")</f>
        <v/>
      </c>
      <c r="G257" s="17">
        <f>IFERROR(IF($C257="","",$F257-$H257),"")</f>
        <v/>
      </c>
      <c r="H257" s="17">
        <f>IFERROR(IF($C257="","",$F257/(1+INICIO!$C$5)),"")</f>
        <v/>
      </c>
      <c r="I257" s="17">
        <f>IFERROR(IF($C257="","",$D257*INDEX(PRODUCTOS!$D$5:$D$44,MATCH($C257,PRODUCTOS!$B$5:$B$44,0))),"")</f>
        <v/>
      </c>
      <c r="J257" s="30">
        <f>IFERROR(IF($C257="","",$H257-$I257),"")</f>
        <v/>
      </c>
      <c r="K257" s="28" t="n"/>
      <c r="L257" s="28" t="n"/>
    </row>
    <row r="258">
      <c r="A258" s="26" t="n"/>
      <c r="B258" s="27">
        <f>IF($A258="","",TEXT($A258,"YYYY-MM"))</f>
        <v/>
      </c>
      <c r="C258" s="28" t="n"/>
      <c r="D258" s="29" t="n"/>
      <c r="E258" s="17">
        <f>IFERROR(IF($C258="","",INDEX(PRODUCTOS!$E$5:$E$44,MATCH($C258,PRODUCTOS!$B$5:$B$44,0))),"")</f>
        <v/>
      </c>
      <c r="F258" s="17">
        <f>IFERROR(IF($C258="","",$D258*$E258),"")</f>
        <v/>
      </c>
      <c r="G258" s="17">
        <f>IFERROR(IF($C258="","",$F258-$H258),"")</f>
        <v/>
      </c>
      <c r="H258" s="17">
        <f>IFERROR(IF($C258="","",$F258/(1+INICIO!$C$5)),"")</f>
        <v/>
      </c>
      <c r="I258" s="17">
        <f>IFERROR(IF($C258="","",$D258*INDEX(PRODUCTOS!$D$5:$D$44,MATCH($C258,PRODUCTOS!$B$5:$B$44,0))),"")</f>
        <v/>
      </c>
      <c r="J258" s="30">
        <f>IFERROR(IF($C258="","",$H258-$I258),"")</f>
        <v/>
      </c>
      <c r="K258" s="28" t="n"/>
      <c r="L258" s="28" t="n"/>
    </row>
    <row r="259">
      <c r="A259" s="26" t="n"/>
      <c r="B259" s="27">
        <f>IF($A259="","",TEXT($A259,"YYYY-MM"))</f>
        <v/>
      </c>
      <c r="C259" s="28" t="n"/>
      <c r="D259" s="29" t="n"/>
      <c r="E259" s="17">
        <f>IFERROR(IF($C259="","",INDEX(PRODUCTOS!$E$5:$E$44,MATCH($C259,PRODUCTOS!$B$5:$B$44,0))),"")</f>
        <v/>
      </c>
      <c r="F259" s="17">
        <f>IFERROR(IF($C259="","",$D259*$E259),"")</f>
        <v/>
      </c>
      <c r="G259" s="17">
        <f>IFERROR(IF($C259="","",$F259-$H259),"")</f>
        <v/>
      </c>
      <c r="H259" s="17">
        <f>IFERROR(IF($C259="","",$F259/(1+INICIO!$C$5)),"")</f>
        <v/>
      </c>
      <c r="I259" s="17">
        <f>IFERROR(IF($C259="","",$D259*INDEX(PRODUCTOS!$D$5:$D$44,MATCH($C259,PRODUCTOS!$B$5:$B$44,0))),"")</f>
        <v/>
      </c>
      <c r="J259" s="30">
        <f>IFERROR(IF($C259="","",$H259-$I259),"")</f>
        <v/>
      </c>
      <c r="K259" s="28" t="n"/>
      <c r="L259" s="28" t="n"/>
    </row>
    <row r="260">
      <c r="A260" s="26" t="n"/>
      <c r="B260" s="27">
        <f>IF($A260="","",TEXT($A260,"YYYY-MM"))</f>
        <v/>
      </c>
      <c r="C260" s="28" t="n"/>
      <c r="D260" s="29" t="n"/>
      <c r="E260" s="17">
        <f>IFERROR(IF($C260="","",INDEX(PRODUCTOS!$E$5:$E$44,MATCH($C260,PRODUCTOS!$B$5:$B$44,0))),"")</f>
        <v/>
      </c>
      <c r="F260" s="17">
        <f>IFERROR(IF($C260="","",$D260*$E260),"")</f>
        <v/>
      </c>
      <c r="G260" s="17">
        <f>IFERROR(IF($C260="","",$F260-$H260),"")</f>
        <v/>
      </c>
      <c r="H260" s="17">
        <f>IFERROR(IF($C260="","",$F260/(1+INICIO!$C$5)),"")</f>
        <v/>
      </c>
      <c r="I260" s="17">
        <f>IFERROR(IF($C260="","",$D260*INDEX(PRODUCTOS!$D$5:$D$44,MATCH($C260,PRODUCTOS!$B$5:$B$44,0))),"")</f>
        <v/>
      </c>
      <c r="J260" s="30">
        <f>IFERROR(IF($C260="","",$H260-$I260),"")</f>
        <v/>
      </c>
      <c r="K260" s="28" t="n"/>
      <c r="L260" s="28" t="n"/>
    </row>
    <row r="261">
      <c r="A261" s="26" t="n"/>
      <c r="B261" s="27">
        <f>IF($A261="","",TEXT($A261,"YYYY-MM"))</f>
        <v/>
      </c>
      <c r="C261" s="28" t="n"/>
      <c r="D261" s="29" t="n"/>
      <c r="E261" s="17">
        <f>IFERROR(IF($C261="","",INDEX(PRODUCTOS!$E$5:$E$44,MATCH($C261,PRODUCTOS!$B$5:$B$44,0))),"")</f>
        <v/>
      </c>
      <c r="F261" s="17">
        <f>IFERROR(IF($C261="","",$D261*$E261),"")</f>
        <v/>
      </c>
      <c r="G261" s="17">
        <f>IFERROR(IF($C261="","",$F261-$H261),"")</f>
        <v/>
      </c>
      <c r="H261" s="17">
        <f>IFERROR(IF($C261="","",$F261/(1+INICIO!$C$5)),"")</f>
        <v/>
      </c>
      <c r="I261" s="17">
        <f>IFERROR(IF($C261="","",$D261*INDEX(PRODUCTOS!$D$5:$D$44,MATCH($C261,PRODUCTOS!$B$5:$B$44,0))),"")</f>
        <v/>
      </c>
      <c r="J261" s="30">
        <f>IFERROR(IF($C261="","",$H261-$I261),"")</f>
        <v/>
      </c>
      <c r="K261" s="28" t="n"/>
      <c r="L261" s="28" t="n"/>
    </row>
    <row r="262">
      <c r="A262" s="26" t="n"/>
      <c r="B262" s="27">
        <f>IF($A262="","",TEXT($A262,"YYYY-MM"))</f>
        <v/>
      </c>
      <c r="C262" s="28" t="n"/>
      <c r="D262" s="29" t="n"/>
      <c r="E262" s="17">
        <f>IFERROR(IF($C262="","",INDEX(PRODUCTOS!$E$5:$E$44,MATCH($C262,PRODUCTOS!$B$5:$B$44,0))),"")</f>
        <v/>
      </c>
      <c r="F262" s="17">
        <f>IFERROR(IF($C262="","",$D262*$E262),"")</f>
        <v/>
      </c>
      <c r="G262" s="17">
        <f>IFERROR(IF($C262="","",$F262-$H262),"")</f>
        <v/>
      </c>
      <c r="H262" s="17">
        <f>IFERROR(IF($C262="","",$F262/(1+INICIO!$C$5)),"")</f>
        <v/>
      </c>
      <c r="I262" s="17">
        <f>IFERROR(IF($C262="","",$D262*INDEX(PRODUCTOS!$D$5:$D$44,MATCH($C262,PRODUCTOS!$B$5:$B$44,0))),"")</f>
        <v/>
      </c>
      <c r="J262" s="30">
        <f>IFERROR(IF($C262="","",$H262-$I262),"")</f>
        <v/>
      </c>
      <c r="K262" s="28" t="n"/>
      <c r="L262" s="28" t="n"/>
    </row>
    <row r="263">
      <c r="A263" s="26" t="n"/>
      <c r="B263" s="27">
        <f>IF($A263="","",TEXT($A263,"YYYY-MM"))</f>
        <v/>
      </c>
      <c r="C263" s="28" t="n"/>
      <c r="D263" s="29" t="n"/>
      <c r="E263" s="17">
        <f>IFERROR(IF($C263="","",INDEX(PRODUCTOS!$E$5:$E$44,MATCH($C263,PRODUCTOS!$B$5:$B$44,0))),"")</f>
        <v/>
      </c>
      <c r="F263" s="17">
        <f>IFERROR(IF($C263="","",$D263*$E263),"")</f>
        <v/>
      </c>
      <c r="G263" s="17">
        <f>IFERROR(IF($C263="","",$F263-$H263),"")</f>
        <v/>
      </c>
      <c r="H263" s="17">
        <f>IFERROR(IF($C263="","",$F263/(1+INICIO!$C$5)),"")</f>
        <v/>
      </c>
      <c r="I263" s="17">
        <f>IFERROR(IF($C263="","",$D263*INDEX(PRODUCTOS!$D$5:$D$44,MATCH($C263,PRODUCTOS!$B$5:$B$44,0))),"")</f>
        <v/>
      </c>
      <c r="J263" s="30">
        <f>IFERROR(IF($C263="","",$H263-$I263),"")</f>
        <v/>
      </c>
      <c r="K263" s="28" t="n"/>
      <c r="L263" s="28" t="n"/>
    </row>
    <row r="264">
      <c r="A264" s="26" t="n"/>
      <c r="B264" s="27">
        <f>IF($A264="","",TEXT($A264,"YYYY-MM"))</f>
        <v/>
      </c>
      <c r="C264" s="28" t="n"/>
      <c r="D264" s="29" t="n"/>
      <c r="E264" s="17">
        <f>IFERROR(IF($C264="","",INDEX(PRODUCTOS!$E$5:$E$44,MATCH($C264,PRODUCTOS!$B$5:$B$44,0))),"")</f>
        <v/>
      </c>
      <c r="F264" s="17">
        <f>IFERROR(IF($C264="","",$D264*$E264),"")</f>
        <v/>
      </c>
      <c r="G264" s="17">
        <f>IFERROR(IF($C264="","",$F264-$H264),"")</f>
        <v/>
      </c>
      <c r="H264" s="17">
        <f>IFERROR(IF($C264="","",$F264/(1+INICIO!$C$5)),"")</f>
        <v/>
      </c>
      <c r="I264" s="17">
        <f>IFERROR(IF($C264="","",$D264*INDEX(PRODUCTOS!$D$5:$D$44,MATCH($C264,PRODUCTOS!$B$5:$B$44,0))),"")</f>
        <v/>
      </c>
      <c r="J264" s="30">
        <f>IFERROR(IF($C264="","",$H264-$I264),"")</f>
        <v/>
      </c>
      <c r="K264" s="28" t="n"/>
      <c r="L264" s="28" t="n"/>
    </row>
    <row r="265">
      <c r="A265" s="26" t="n"/>
      <c r="B265" s="27">
        <f>IF($A265="","",TEXT($A265,"YYYY-MM"))</f>
        <v/>
      </c>
      <c r="C265" s="28" t="n"/>
      <c r="D265" s="29" t="n"/>
      <c r="E265" s="17">
        <f>IFERROR(IF($C265="","",INDEX(PRODUCTOS!$E$5:$E$44,MATCH($C265,PRODUCTOS!$B$5:$B$44,0))),"")</f>
        <v/>
      </c>
      <c r="F265" s="17">
        <f>IFERROR(IF($C265="","",$D265*$E265),"")</f>
        <v/>
      </c>
      <c r="G265" s="17">
        <f>IFERROR(IF($C265="","",$F265-$H265),"")</f>
        <v/>
      </c>
      <c r="H265" s="17">
        <f>IFERROR(IF($C265="","",$F265/(1+INICIO!$C$5)),"")</f>
        <v/>
      </c>
      <c r="I265" s="17">
        <f>IFERROR(IF($C265="","",$D265*INDEX(PRODUCTOS!$D$5:$D$44,MATCH($C265,PRODUCTOS!$B$5:$B$44,0))),"")</f>
        <v/>
      </c>
      <c r="J265" s="30">
        <f>IFERROR(IF($C265="","",$H265-$I265),"")</f>
        <v/>
      </c>
      <c r="K265" s="28" t="n"/>
      <c r="L265" s="28" t="n"/>
    </row>
    <row r="266">
      <c r="A266" s="26" t="n"/>
      <c r="B266" s="27">
        <f>IF($A266="","",TEXT($A266,"YYYY-MM"))</f>
        <v/>
      </c>
      <c r="C266" s="28" t="n"/>
      <c r="D266" s="29" t="n"/>
      <c r="E266" s="17">
        <f>IFERROR(IF($C266="","",INDEX(PRODUCTOS!$E$5:$E$44,MATCH($C266,PRODUCTOS!$B$5:$B$44,0))),"")</f>
        <v/>
      </c>
      <c r="F266" s="17">
        <f>IFERROR(IF($C266="","",$D266*$E266),"")</f>
        <v/>
      </c>
      <c r="G266" s="17">
        <f>IFERROR(IF($C266="","",$F266-$H266),"")</f>
        <v/>
      </c>
      <c r="H266" s="17">
        <f>IFERROR(IF($C266="","",$F266/(1+INICIO!$C$5)),"")</f>
        <v/>
      </c>
      <c r="I266" s="17">
        <f>IFERROR(IF($C266="","",$D266*INDEX(PRODUCTOS!$D$5:$D$44,MATCH($C266,PRODUCTOS!$B$5:$B$44,0))),"")</f>
        <v/>
      </c>
      <c r="J266" s="30">
        <f>IFERROR(IF($C266="","",$H266-$I266),"")</f>
        <v/>
      </c>
      <c r="K266" s="28" t="n"/>
      <c r="L266" s="28" t="n"/>
    </row>
    <row r="267">
      <c r="A267" s="26" t="n"/>
      <c r="B267" s="27">
        <f>IF($A267="","",TEXT($A267,"YYYY-MM"))</f>
        <v/>
      </c>
      <c r="C267" s="28" t="n"/>
      <c r="D267" s="29" t="n"/>
      <c r="E267" s="17">
        <f>IFERROR(IF($C267="","",INDEX(PRODUCTOS!$E$5:$E$44,MATCH($C267,PRODUCTOS!$B$5:$B$44,0))),"")</f>
        <v/>
      </c>
      <c r="F267" s="17">
        <f>IFERROR(IF($C267="","",$D267*$E267),"")</f>
        <v/>
      </c>
      <c r="G267" s="17">
        <f>IFERROR(IF($C267="","",$F267-$H267),"")</f>
        <v/>
      </c>
      <c r="H267" s="17">
        <f>IFERROR(IF($C267="","",$F267/(1+INICIO!$C$5)),"")</f>
        <v/>
      </c>
      <c r="I267" s="17">
        <f>IFERROR(IF($C267="","",$D267*INDEX(PRODUCTOS!$D$5:$D$44,MATCH($C267,PRODUCTOS!$B$5:$B$44,0))),"")</f>
        <v/>
      </c>
      <c r="J267" s="30">
        <f>IFERROR(IF($C267="","",$H267-$I267),"")</f>
        <v/>
      </c>
      <c r="K267" s="28" t="n"/>
      <c r="L267" s="28" t="n"/>
    </row>
    <row r="268">
      <c r="A268" s="26" t="n"/>
      <c r="B268" s="27">
        <f>IF($A268="","",TEXT($A268,"YYYY-MM"))</f>
        <v/>
      </c>
      <c r="C268" s="28" t="n"/>
      <c r="D268" s="29" t="n"/>
      <c r="E268" s="17">
        <f>IFERROR(IF($C268="","",INDEX(PRODUCTOS!$E$5:$E$44,MATCH($C268,PRODUCTOS!$B$5:$B$44,0))),"")</f>
        <v/>
      </c>
      <c r="F268" s="17">
        <f>IFERROR(IF($C268="","",$D268*$E268),"")</f>
        <v/>
      </c>
      <c r="G268" s="17">
        <f>IFERROR(IF($C268="","",$F268-$H268),"")</f>
        <v/>
      </c>
      <c r="H268" s="17">
        <f>IFERROR(IF($C268="","",$F268/(1+INICIO!$C$5)),"")</f>
        <v/>
      </c>
      <c r="I268" s="17">
        <f>IFERROR(IF($C268="","",$D268*INDEX(PRODUCTOS!$D$5:$D$44,MATCH($C268,PRODUCTOS!$B$5:$B$44,0))),"")</f>
        <v/>
      </c>
      <c r="J268" s="30">
        <f>IFERROR(IF($C268="","",$H268-$I268),"")</f>
        <v/>
      </c>
      <c r="K268" s="28" t="n"/>
      <c r="L268" s="28" t="n"/>
    </row>
    <row r="269">
      <c r="A269" s="26" t="n"/>
      <c r="B269" s="27">
        <f>IF($A269="","",TEXT($A269,"YYYY-MM"))</f>
        <v/>
      </c>
      <c r="C269" s="28" t="n"/>
      <c r="D269" s="29" t="n"/>
      <c r="E269" s="17">
        <f>IFERROR(IF($C269="","",INDEX(PRODUCTOS!$E$5:$E$44,MATCH($C269,PRODUCTOS!$B$5:$B$44,0))),"")</f>
        <v/>
      </c>
      <c r="F269" s="17">
        <f>IFERROR(IF($C269="","",$D269*$E269),"")</f>
        <v/>
      </c>
      <c r="G269" s="17">
        <f>IFERROR(IF($C269="","",$F269-$H269),"")</f>
        <v/>
      </c>
      <c r="H269" s="17">
        <f>IFERROR(IF($C269="","",$F269/(1+INICIO!$C$5)),"")</f>
        <v/>
      </c>
      <c r="I269" s="17">
        <f>IFERROR(IF($C269="","",$D269*INDEX(PRODUCTOS!$D$5:$D$44,MATCH($C269,PRODUCTOS!$B$5:$B$44,0))),"")</f>
        <v/>
      </c>
      <c r="J269" s="30">
        <f>IFERROR(IF($C269="","",$H269-$I269),"")</f>
        <v/>
      </c>
      <c r="K269" s="28" t="n"/>
      <c r="L269" s="28" t="n"/>
    </row>
    <row r="270">
      <c r="A270" s="26" t="n"/>
      <c r="B270" s="27">
        <f>IF($A270="","",TEXT($A270,"YYYY-MM"))</f>
        <v/>
      </c>
      <c r="C270" s="28" t="n"/>
      <c r="D270" s="29" t="n"/>
      <c r="E270" s="17">
        <f>IFERROR(IF($C270="","",INDEX(PRODUCTOS!$E$5:$E$44,MATCH($C270,PRODUCTOS!$B$5:$B$44,0))),"")</f>
        <v/>
      </c>
      <c r="F270" s="17">
        <f>IFERROR(IF($C270="","",$D270*$E270),"")</f>
        <v/>
      </c>
      <c r="G270" s="17">
        <f>IFERROR(IF($C270="","",$F270-$H270),"")</f>
        <v/>
      </c>
      <c r="H270" s="17">
        <f>IFERROR(IF($C270="","",$F270/(1+INICIO!$C$5)),"")</f>
        <v/>
      </c>
      <c r="I270" s="17">
        <f>IFERROR(IF($C270="","",$D270*INDEX(PRODUCTOS!$D$5:$D$44,MATCH($C270,PRODUCTOS!$B$5:$B$44,0))),"")</f>
        <v/>
      </c>
      <c r="J270" s="30">
        <f>IFERROR(IF($C270="","",$H270-$I270),"")</f>
        <v/>
      </c>
      <c r="K270" s="28" t="n"/>
      <c r="L270" s="28" t="n"/>
    </row>
    <row r="271">
      <c r="A271" s="26" t="n"/>
      <c r="B271" s="27">
        <f>IF($A271="","",TEXT($A271,"YYYY-MM"))</f>
        <v/>
      </c>
      <c r="C271" s="28" t="n"/>
      <c r="D271" s="29" t="n"/>
      <c r="E271" s="17">
        <f>IFERROR(IF($C271="","",INDEX(PRODUCTOS!$E$5:$E$44,MATCH($C271,PRODUCTOS!$B$5:$B$44,0))),"")</f>
        <v/>
      </c>
      <c r="F271" s="17">
        <f>IFERROR(IF($C271="","",$D271*$E271),"")</f>
        <v/>
      </c>
      <c r="G271" s="17">
        <f>IFERROR(IF($C271="","",$F271-$H271),"")</f>
        <v/>
      </c>
      <c r="H271" s="17">
        <f>IFERROR(IF($C271="","",$F271/(1+INICIO!$C$5)),"")</f>
        <v/>
      </c>
      <c r="I271" s="17">
        <f>IFERROR(IF($C271="","",$D271*INDEX(PRODUCTOS!$D$5:$D$44,MATCH($C271,PRODUCTOS!$B$5:$B$44,0))),"")</f>
        <v/>
      </c>
      <c r="J271" s="30">
        <f>IFERROR(IF($C271="","",$H271-$I271),"")</f>
        <v/>
      </c>
      <c r="K271" s="28" t="n"/>
      <c r="L271" s="28" t="n"/>
    </row>
    <row r="272">
      <c r="A272" s="26" t="n"/>
      <c r="B272" s="27">
        <f>IF($A272="","",TEXT($A272,"YYYY-MM"))</f>
        <v/>
      </c>
      <c r="C272" s="28" t="n"/>
      <c r="D272" s="29" t="n"/>
      <c r="E272" s="17">
        <f>IFERROR(IF($C272="","",INDEX(PRODUCTOS!$E$5:$E$44,MATCH($C272,PRODUCTOS!$B$5:$B$44,0))),"")</f>
        <v/>
      </c>
      <c r="F272" s="17">
        <f>IFERROR(IF($C272="","",$D272*$E272),"")</f>
        <v/>
      </c>
      <c r="G272" s="17">
        <f>IFERROR(IF($C272="","",$F272-$H272),"")</f>
        <v/>
      </c>
      <c r="H272" s="17">
        <f>IFERROR(IF($C272="","",$F272/(1+INICIO!$C$5)),"")</f>
        <v/>
      </c>
      <c r="I272" s="17">
        <f>IFERROR(IF($C272="","",$D272*INDEX(PRODUCTOS!$D$5:$D$44,MATCH($C272,PRODUCTOS!$B$5:$B$44,0))),"")</f>
        <v/>
      </c>
      <c r="J272" s="30">
        <f>IFERROR(IF($C272="","",$H272-$I272),"")</f>
        <v/>
      </c>
      <c r="K272" s="28" t="n"/>
      <c r="L272" s="28" t="n"/>
    </row>
    <row r="273">
      <c r="A273" s="26" t="n"/>
      <c r="B273" s="27">
        <f>IF($A273="","",TEXT($A273,"YYYY-MM"))</f>
        <v/>
      </c>
      <c r="C273" s="28" t="n"/>
      <c r="D273" s="29" t="n"/>
      <c r="E273" s="17">
        <f>IFERROR(IF($C273="","",INDEX(PRODUCTOS!$E$5:$E$44,MATCH($C273,PRODUCTOS!$B$5:$B$44,0))),"")</f>
        <v/>
      </c>
      <c r="F273" s="17">
        <f>IFERROR(IF($C273="","",$D273*$E273),"")</f>
        <v/>
      </c>
      <c r="G273" s="17">
        <f>IFERROR(IF($C273="","",$F273-$H273),"")</f>
        <v/>
      </c>
      <c r="H273" s="17">
        <f>IFERROR(IF($C273="","",$F273/(1+INICIO!$C$5)),"")</f>
        <v/>
      </c>
      <c r="I273" s="17">
        <f>IFERROR(IF($C273="","",$D273*INDEX(PRODUCTOS!$D$5:$D$44,MATCH($C273,PRODUCTOS!$B$5:$B$44,0))),"")</f>
        <v/>
      </c>
      <c r="J273" s="30">
        <f>IFERROR(IF($C273="","",$H273-$I273),"")</f>
        <v/>
      </c>
      <c r="K273" s="28" t="n"/>
      <c r="L273" s="28" t="n"/>
    </row>
    <row r="274">
      <c r="A274" s="26" t="n"/>
      <c r="B274" s="27">
        <f>IF($A274="","",TEXT($A274,"YYYY-MM"))</f>
        <v/>
      </c>
      <c r="C274" s="28" t="n"/>
      <c r="D274" s="29" t="n"/>
      <c r="E274" s="17">
        <f>IFERROR(IF($C274="","",INDEX(PRODUCTOS!$E$5:$E$44,MATCH($C274,PRODUCTOS!$B$5:$B$44,0))),"")</f>
        <v/>
      </c>
      <c r="F274" s="17">
        <f>IFERROR(IF($C274="","",$D274*$E274),"")</f>
        <v/>
      </c>
      <c r="G274" s="17">
        <f>IFERROR(IF($C274="","",$F274-$H274),"")</f>
        <v/>
      </c>
      <c r="H274" s="17">
        <f>IFERROR(IF($C274="","",$F274/(1+INICIO!$C$5)),"")</f>
        <v/>
      </c>
      <c r="I274" s="17">
        <f>IFERROR(IF($C274="","",$D274*INDEX(PRODUCTOS!$D$5:$D$44,MATCH($C274,PRODUCTOS!$B$5:$B$44,0))),"")</f>
        <v/>
      </c>
      <c r="J274" s="30">
        <f>IFERROR(IF($C274="","",$H274-$I274),"")</f>
        <v/>
      </c>
      <c r="K274" s="28" t="n"/>
      <c r="L274" s="28" t="n"/>
    </row>
    <row r="275">
      <c r="A275" s="26" t="n"/>
      <c r="B275" s="27">
        <f>IF($A275="","",TEXT($A275,"YYYY-MM"))</f>
        <v/>
      </c>
      <c r="C275" s="28" t="n"/>
      <c r="D275" s="29" t="n"/>
      <c r="E275" s="17">
        <f>IFERROR(IF($C275="","",INDEX(PRODUCTOS!$E$5:$E$44,MATCH($C275,PRODUCTOS!$B$5:$B$44,0))),"")</f>
        <v/>
      </c>
      <c r="F275" s="17">
        <f>IFERROR(IF($C275="","",$D275*$E275),"")</f>
        <v/>
      </c>
      <c r="G275" s="17">
        <f>IFERROR(IF($C275="","",$F275-$H275),"")</f>
        <v/>
      </c>
      <c r="H275" s="17">
        <f>IFERROR(IF($C275="","",$F275/(1+INICIO!$C$5)),"")</f>
        <v/>
      </c>
      <c r="I275" s="17">
        <f>IFERROR(IF($C275="","",$D275*INDEX(PRODUCTOS!$D$5:$D$44,MATCH($C275,PRODUCTOS!$B$5:$B$44,0))),"")</f>
        <v/>
      </c>
      <c r="J275" s="30">
        <f>IFERROR(IF($C275="","",$H275-$I275),"")</f>
        <v/>
      </c>
      <c r="K275" s="28" t="n"/>
      <c r="L275" s="28" t="n"/>
    </row>
    <row r="276">
      <c r="A276" s="26" t="n"/>
      <c r="B276" s="27">
        <f>IF($A276="","",TEXT($A276,"YYYY-MM"))</f>
        <v/>
      </c>
      <c r="C276" s="28" t="n"/>
      <c r="D276" s="29" t="n"/>
      <c r="E276" s="17">
        <f>IFERROR(IF($C276="","",INDEX(PRODUCTOS!$E$5:$E$44,MATCH($C276,PRODUCTOS!$B$5:$B$44,0))),"")</f>
        <v/>
      </c>
      <c r="F276" s="17">
        <f>IFERROR(IF($C276="","",$D276*$E276),"")</f>
        <v/>
      </c>
      <c r="G276" s="17">
        <f>IFERROR(IF($C276="","",$F276-$H276),"")</f>
        <v/>
      </c>
      <c r="H276" s="17">
        <f>IFERROR(IF($C276="","",$F276/(1+INICIO!$C$5)),"")</f>
        <v/>
      </c>
      <c r="I276" s="17">
        <f>IFERROR(IF($C276="","",$D276*INDEX(PRODUCTOS!$D$5:$D$44,MATCH($C276,PRODUCTOS!$B$5:$B$44,0))),"")</f>
        <v/>
      </c>
      <c r="J276" s="30">
        <f>IFERROR(IF($C276="","",$H276-$I276),"")</f>
        <v/>
      </c>
      <c r="K276" s="28" t="n"/>
      <c r="L276" s="28" t="n"/>
    </row>
    <row r="277">
      <c r="A277" s="26" t="n"/>
      <c r="B277" s="27">
        <f>IF($A277="","",TEXT($A277,"YYYY-MM"))</f>
        <v/>
      </c>
      <c r="C277" s="28" t="n"/>
      <c r="D277" s="29" t="n"/>
      <c r="E277" s="17">
        <f>IFERROR(IF($C277="","",INDEX(PRODUCTOS!$E$5:$E$44,MATCH($C277,PRODUCTOS!$B$5:$B$44,0))),"")</f>
        <v/>
      </c>
      <c r="F277" s="17">
        <f>IFERROR(IF($C277="","",$D277*$E277),"")</f>
        <v/>
      </c>
      <c r="G277" s="17">
        <f>IFERROR(IF($C277="","",$F277-$H277),"")</f>
        <v/>
      </c>
      <c r="H277" s="17">
        <f>IFERROR(IF($C277="","",$F277/(1+INICIO!$C$5)),"")</f>
        <v/>
      </c>
      <c r="I277" s="17">
        <f>IFERROR(IF($C277="","",$D277*INDEX(PRODUCTOS!$D$5:$D$44,MATCH($C277,PRODUCTOS!$B$5:$B$44,0))),"")</f>
        <v/>
      </c>
      <c r="J277" s="30">
        <f>IFERROR(IF($C277="","",$H277-$I277),"")</f>
        <v/>
      </c>
      <c r="K277" s="28" t="n"/>
      <c r="L277" s="28" t="n"/>
    </row>
    <row r="278">
      <c r="A278" s="26" t="n"/>
      <c r="B278" s="27">
        <f>IF($A278="","",TEXT($A278,"YYYY-MM"))</f>
        <v/>
      </c>
      <c r="C278" s="28" t="n"/>
      <c r="D278" s="29" t="n"/>
      <c r="E278" s="17">
        <f>IFERROR(IF($C278="","",INDEX(PRODUCTOS!$E$5:$E$44,MATCH($C278,PRODUCTOS!$B$5:$B$44,0))),"")</f>
        <v/>
      </c>
      <c r="F278" s="17">
        <f>IFERROR(IF($C278="","",$D278*$E278),"")</f>
        <v/>
      </c>
      <c r="G278" s="17">
        <f>IFERROR(IF($C278="","",$F278-$H278),"")</f>
        <v/>
      </c>
      <c r="H278" s="17">
        <f>IFERROR(IF($C278="","",$F278/(1+INICIO!$C$5)),"")</f>
        <v/>
      </c>
      <c r="I278" s="17">
        <f>IFERROR(IF($C278="","",$D278*INDEX(PRODUCTOS!$D$5:$D$44,MATCH($C278,PRODUCTOS!$B$5:$B$44,0))),"")</f>
        <v/>
      </c>
      <c r="J278" s="30">
        <f>IFERROR(IF($C278="","",$H278-$I278),"")</f>
        <v/>
      </c>
      <c r="K278" s="28" t="n"/>
      <c r="L278" s="28" t="n"/>
    </row>
    <row r="279">
      <c r="A279" s="26" t="n"/>
      <c r="B279" s="27">
        <f>IF($A279="","",TEXT($A279,"YYYY-MM"))</f>
        <v/>
      </c>
      <c r="C279" s="28" t="n"/>
      <c r="D279" s="29" t="n"/>
      <c r="E279" s="17">
        <f>IFERROR(IF($C279="","",INDEX(PRODUCTOS!$E$5:$E$44,MATCH($C279,PRODUCTOS!$B$5:$B$44,0))),"")</f>
        <v/>
      </c>
      <c r="F279" s="17">
        <f>IFERROR(IF($C279="","",$D279*$E279),"")</f>
        <v/>
      </c>
      <c r="G279" s="17">
        <f>IFERROR(IF($C279="","",$F279-$H279),"")</f>
        <v/>
      </c>
      <c r="H279" s="17">
        <f>IFERROR(IF($C279="","",$F279/(1+INICIO!$C$5)),"")</f>
        <v/>
      </c>
      <c r="I279" s="17">
        <f>IFERROR(IF($C279="","",$D279*INDEX(PRODUCTOS!$D$5:$D$44,MATCH($C279,PRODUCTOS!$B$5:$B$44,0))),"")</f>
        <v/>
      </c>
      <c r="J279" s="30">
        <f>IFERROR(IF($C279="","",$H279-$I279),"")</f>
        <v/>
      </c>
      <c r="K279" s="28" t="n"/>
      <c r="L279" s="28" t="n"/>
    </row>
    <row r="280">
      <c r="A280" s="26" t="n"/>
      <c r="B280" s="27">
        <f>IF($A280="","",TEXT($A280,"YYYY-MM"))</f>
        <v/>
      </c>
      <c r="C280" s="28" t="n"/>
      <c r="D280" s="29" t="n"/>
      <c r="E280" s="17">
        <f>IFERROR(IF($C280="","",INDEX(PRODUCTOS!$E$5:$E$44,MATCH($C280,PRODUCTOS!$B$5:$B$44,0))),"")</f>
        <v/>
      </c>
      <c r="F280" s="17">
        <f>IFERROR(IF($C280="","",$D280*$E280),"")</f>
        <v/>
      </c>
      <c r="G280" s="17">
        <f>IFERROR(IF($C280="","",$F280-$H280),"")</f>
        <v/>
      </c>
      <c r="H280" s="17">
        <f>IFERROR(IF($C280="","",$F280/(1+INICIO!$C$5)),"")</f>
        <v/>
      </c>
      <c r="I280" s="17">
        <f>IFERROR(IF($C280="","",$D280*INDEX(PRODUCTOS!$D$5:$D$44,MATCH($C280,PRODUCTOS!$B$5:$B$44,0))),"")</f>
        <v/>
      </c>
      <c r="J280" s="30">
        <f>IFERROR(IF($C280="","",$H280-$I280),"")</f>
        <v/>
      </c>
      <c r="K280" s="28" t="n"/>
      <c r="L280" s="28" t="n"/>
    </row>
    <row r="281">
      <c r="A281" s="26" t="n"/>
      <c r="B281" s="27">
        <f>IF($A281="","",TEXT($A281,"YYYY-MM"))</f>
        <v/>
      </c>
      <c r="C281" s="28" t="n"/>
      <c r="D281" s="29" t="n"/>
      <c r="E281" s="17">
        <f>IFERROR(IF($C281="","",INDEX(PRODUCTOS!$E$5:$E$44,MATCH($C281,PRODUCTOS!$B$5:$B$44,0))),"")</f>
        <v/>
      </c>
      <c r="F281" s="17">
        <f>IFERROR(IF($C281="","",$D281*$E281),"")</f>
        <v/>
      </c>
      <c r="G281" s="17">
        <f>IFERROR(IF($C281="","",$F281-$H281),"")</f>
        <v/>
      </c>
      <c r="H281" s="17">
        <f>IFERROR(IF($C281="","",$F281/(1+INICIO!$C$5)),"")</f>
        <v/>
      </c>
      <c r="I281" s="17">
        <f>IFERROR(IF($C281="","",$D281*INDEX(PRODUCTOS!$D$5:$D$44,MATCH($C281,PRODUCTOS!$B$5:$B$44,0))),"")</f>
        <v/>
      </c>
      <c r="J281" s="30">
        <f>IFERROR(IF($C281="","",$H281-$I281),"")</f>
        <v/>
      </c>
      <c r="K281" s="28" t="n"/>
      <c r="L281" s="28" t="n"/>
    </row>
    <row r="282">
      <c r="A282" s="26" t="n"/>
      <c r="B282" s="27">
        <f>IF($A282="","",TEXT($A282,"YYYY-MM"))</f>
        <v/>
      </c>
      <c r="C282" s="28" t="n"/>
      <c r="D282" s="29" t="n"/>
      <c r="E282" s="17">
        <f>IFERROR(IF($C282="","",INDEX(PRODUCTOS!$E$5:$E$44,MATCH($C282,PRODUCTOS!$B$5:$B$44,0))),"")</f>
        <v/>
      </c>
      <c r="F282" s="17">
        <f>IFERROR(IF($C282="","",$D282*$E282),"")</f>
        <v/>
      </c>
      <c r="G282" s="17">
        <f>IFERROR(IF($C282="","",$F282-$H282),"")</f>
        <v/>
      </c>
      <c r="H282" s="17">
        <f>IFERROR(IF($C282="","",$F282/(1+INICIO!$C$5)),"")</f>
        <v/>
      </c>
      <c r="I282" s="17">
        <f>IFERROR(IF($C282="","",$D282*INDEX(PRODUCTOS!$D$5:$D$44,MATCH($C282,PRODUCTOS!$B$5:$B$44,0))),"")</f>
        <v/>
      </c>
      <c r="J282" s="30">
        <f>IFERROR(IF($C282="","",$H282-$I282),"")</f>
        <v/>
      </c>
      <c r="K282" s="28" t="n"/>
      <c r="L282" s="28" t="n"/>
    </row>
    <row r="283">
      <c r="A283" s="26" t="n"/>
      <c r="B283" s="27">
        <f>IF($A283="","",TEXT($A283,"YYYY-MM"))</f>
        <v/>
      </c>
      <c r="C283" s="28" t="n"/>
      <c r="D283" s="29" t="n"/>
      <c r="E283" s="17">
        <f>IFERROR(IF($C283="","",INDEX(PRODUCTOS!$E$5:$E$44,MATCH($C283,PRODUCTOS!$B$5:$B$44,0))),"")</f>
        <v/>
      </c>
      <c r="F283" s="17">
        <f>IFERROR(IF($C283="","",$D283*$E283),"")</f>
        <v/>
      </c>
      <c r="G283" s="17">
        <f>IFERROR(IF($C283="","",$F283-$H283),"")</f>
        <v/>
      </c>
      <c r="H283" s="17">
        <f>IFERROR(IF($C283="","",$F283/(1+INICIO!$C$5)),"")</f>
        <v/>
      </c>
      <c r="I283" s="17">
        <f>IFERROR(IF($C283="","",$D283*INDEX(PRODUCTOS!$D$5:$D$44,MATCH($C283,PRODUCTOS!$B$5:$B$44,0))),"")</f>
        <v/>
      </c>
      <c r="J283" s="30">
        <f>IFERROR(IF($C283="","",$H283-$I283),"")</f>
        <v/>
      </c>
      <c r="K283" s="28" t="n"/>
      <c r="L283" s="28" t="n"/>
    </row>
    <row r="284">
      <c r="A284" s="26" t="n"/>
      <c r="B284" s="27">
        <f>IF($A284="","",TEXT($A284,"YYYY-MM"))</f>
        <v/>
      </c>
      <c r="C284" s="28" t="n"/>
      <c r="D284" s="29" t="n"/>
      <c r="E284" s="17">
        <f>IFERROR(IF($C284="","",INDEX(PRODUCTOS!$E$5:$E$44,MATCH($C284,PRODUCTOS!$B$5:$B$44,0))),"")</f>
        <v/>
      </c>
      <c r="F284" s="17">
        <f>IFERROR(IF($C284="","",$D284*$E284),"")</f>
        <v/>
      </c>
      <c r="G284" s="17">
        <f>IFERROR(IF($C284="","",$F284-$H284),"")</f>
        <v/>
      </c>
      <c r="H284" s="17">
        <f>IFERROR(IF($C284="","",$F284/(1+INICIO!$C$5)),"")</f>
        <v/>
      </c>
      <c r="I284" s="17">
        <f>IFERROR(IF($C284="","",$D284*INDEX(PRODUCTOS!$D$5:$D$44,MATCH($C284,PRODUCTOS!$B$5:$B$44,0))),"")</f>
        <v/>
      </c>
      <c r="J284" s="30">
        <f>IFERROR(IF($C284="","",$H284-$I284),"")</f>
        <v/>
      </c>
      <c r="K284" s="28" t="n"/>
      <c r="L284" s="28" t="n"/>
    </row>
    <row r="285">
      <c r="A285" s="26" t="n"/>
      <c r="B285" s="27">
        <f>IF($A285="","",TEXT($A285,"YYYY-MM"))</f>
        <v/>
      </c>
      <c r="C285" s="28" t="n"/>
      <c r="D285" s="29" t="n"/>
      <c r="E285" s="17">
        <f>IFERROR(IF($C285="","",INDEX(PRODUCTOS!$E$5:$E$44,MATCH($C285,PRODUCTOS!$B$5:$B$44,0))),"")</f>
        <v/>
      </c>
      <c r="F285" s="17">
        <f>IFERROR(IF($C285="","",$D285*$E285),"")</f>
        <v/>
      </c>
      <c r="G285" s="17">
        <f>IFERROR(IF($C285="","",$F285-$H285),"")</f>
        <v/>
      </c>
      <c r="H285" s="17">
        <f>IFERROR(IF($C285="","",$F285/(1+INICIO!$C$5)),"")</f>
        <v/>
      </c>
      <c r="I285" s="17">
        <f>IFERROR(IF($C285="","",$D285*INDEX(PRODUCTOS!$D$5:$D$44,MATCH($C285,PRODUCTOS!$B$5:$B$44,0))),"")</f>
        <v/>
      </c>
      <c r="J285" s="30">
        <f>IFERROR(IF($C285="","",$H285-$I285),"")</f>
        <v/>
      </c>
      <c r="K285" s="28" t="n"/>
      <c r="L285" s="28" t="n"/>
    </row>
    <row r="286">
      <c r="A286" s="26" t="n"/>
      <c r="B286" s="27">
        <f>IF($A286="","",TEXT($A286,"YYYY-MM"))</f>
        <v/>
      </c>
      <c r="C286" s="28" t="n"/>
      <c r="D286" s="29" t="n"/>
      <c r="E286" s="17">
        <f>IFERROR(IF($C286="","",INDEX(PRODUCTOS!$E$5:$E$44,MATCH($C286,PRODUCTOS!$B$5:$B$44,0))),"")</f>
        <v/>
      </c>
      <c r="F286" s="17">
        <f>IFERROR(IF($C286="","",$D286*$E286),"")</f>
        <v/>
      </c>
      <c r="G286" s="17">
        <f>IFERROR(IF($C286="","",$F286-$H286),"")</f>
        <v/>
      </c>
      <c r="H286" s="17">
        <f>IFERROR(IF($C286="","",$F286/(1+INICIO!$C$5)),"")</f>
        <v/>
      </c>
      <c r="I286" s="17">
        <f>IFERROR(IF($C286="","",$D286*INDEX(PRODUCTOS!$D$5:$D$44,MATCH($C286,PRODUCTOS!$B$5:$B$44,0))),"")</f>
        <v/>
      </c>
      <c r="J286" s="30">
        <f>IFERROR(IF($C286="","",$H286-$I286),"")</f>
        <v/>
      </c>
      <c r="K286" s="28" t="n"/>
      <c r="L286" s="28" t="n"/>
    </row>
    <row r="287">
      <c r="A287" s="26" t="n"/>
      <c r="B287" s="27">
        <f>IF($A287="","",TEXT($A287,"YYYY-MM"))</f>
        <v/>
      </c>
      <c r="C287" s="28" t="n"/>
      <c r="D287" s="29" t="n"/>
      <c r="E287" s="17">
        <f>IFERROR(IF($C287="","",INDEX(PRODUCTOS!$E$5:$E$44,MATCH($C287,PRODUCTOS!$B$5:$B$44,0))),"")</f>
        <v/>
      </c>
      <c r="F287" s="17">
        <f>IFERROR(IF($C287="","",$D287*$E287),"")</f>
        <v/>
      </c>
      <c r="G287" s="17">
        <f>IFERROR(IF($C287="","",$F287-$H287),"")</f>
        <v/>
      </c>
      <c r="H287" s="17">
        <f>IFERROR(IF($C287="","",$F287/(1+INICIO!$C$5)),"")</f>
        <v/>
      </c>
      <c r="I287" s="17">
        <f>IFERROR(IF($C287="","",$D287*INDEX(PRODUCTOS!$D$5:$D$44,MATCH($C287,PRODUCTOS!$B$5:$B$44,0))),"")</f>
        <v/>
      </c>
      <c r="J287" s="30">
        <f>IFERROR(IF($C287="","",$H287-$I287),"")</f>
        <v/>
      </c>
      <c r="K287" s="28" t="n"/>
      <c r="L287" s="28" t="n"/>
    </row>
    <row r="288">
      <c r="A288" s="26" t="n"/>
      <c r="B288" s="27">
        <f>IF($A288="","",TEXT($A288,"YYYY-MM"))</f>
        <v/>
      </c>
      <c r="C288" s="28" t="n"/>
      <c r="D288" s="29" t="n"/>
      <c r="E288" s="17">
        <f>IFERROR(IF($C288="","",INDEX(PRODUCTOS!$E$5:$E$44,MATCH($C288,PRODUCTOS!$B$5:$B$44,0))),"")</f>
        <v/>
      </c>
      <c r="F288" s="17">
        <f>IFERROR(IF($C288="","",$D288*$E288),"")</f>
        <v/>
      </c>
      <c r="G288" s="17">
        <f>IFERROR(IF($C288="","",$F288-$H288),"")</f>
        <v/>
      </c>
      <c r="H288" s="17">
        <f>IFERROR(IF($C288="","",$F288/(1+INICIO!$C$5)),"")</f>
        <v/>
      </c>
      <c r="I288" s="17">
        <f>IFERROR(IF($C288="","",$D288*INDEX(PRODUCTOS!$D$5:$D$44,MATCH($C288,PRODUCTOS!$B$5:$B$44,0))),"")</f>
        <v/>
      </c>
      <c r="J288" s="30">
        <f>IFERROR(IF($C288="","",$H288-$I288),"")</f>
        <v/>
      </c>
      <c r="K288" s="28" t="n"/>
      <c r="L288" s="28" t="n"/>
    </row>
    <row r="289">
      <c r="A289" s="26" t="n"/>
      <c r="B289" s="27">
        <f>IF($A289="","",TEXT($A289,"YYYY-MM"))</f>
        <v/>
      </c>
      <c r="C289" s="28" t="n"/>
      <c r="D289" s="29" t="n"/>
      <c r="E289" s="17">
        <f>IFERROR(IF($C289="","",INDEX(PRODUCTOS!$E$5:$E$44,MATCH($C289,PRODUCTOS!$B$5:$B$44,0))),"")</f>
        <v/>
      </c>
      <c r="F289" s="17">
        <f>IFERROR(IF($C289="","",$D289*$E289),"")</f>
        <v/>
      </c>
      <c r="G289" s="17">
        <f>IFERROR(IF($C289="","",$F289-$H289),"")</f>
        <v/>
      </c>
      <c r="H289" s="17">
        <f>IFERROR(IF($C289="","",$F289/(1+INICIO!$C$5)),"")</f>
        <v/>
      </c>
      <c r="I289" s="17">
        <f>IFERROR(IF($C289="","",$D289*INDEX(PRODUCTOS!$D$5:$D$44,MATCH($C289,PRODUCTOS!$B$5:$B$44,0))),"")</f>
        <v/>
      </c>
      <c r="J289" s="30">
        <f>IFERROR(IF($C289="","",$H289-$I289),"")</f>
        <v/>
      </c>
      <c r="K289" s="28" t="n"/>
      <c r="L289" s="28" t="n"/>
    </row>
    <row r="290">
      <c r="A290" s="26" t="n"/>
      <c r="B290" s="27">
        <f>IF($A290="","",TEXT($A290,"YYYY-MM"))</f>
        <v/>
      </c>
      <c r="C290" s="28" t="n"/>
      <c r="D290" s="29" t="n"/>
      <c r="E290" s="17">
        <f>IFERROR(IF($C290="","",INDEX(PRODUCTOS!$E$5:$E$44,MATCH($C290,PRODUCTOS!$B$5:$B$44,0))),"")</f>
        <v/>
      </c>
      <c r="F290" s="17">
        <f>IFERROR(IF($C290="","",$D290*$E290),"")</f>
        <v/>
      </c>
      <c r="G290" s="17">
        <f>IFERROR(IF($C290="","",$F290-$H290),"")</f>
        <v/>
      </c>
      <c r="H290" s="17">
        <f>IFERROR(IF($C290="","",$F290/(1+INICIO!$C$5)),"")</f>
        <v/>
      </c>
      <c r="I290" s="17">
        <f>IFERROR(IF($C290="","",$D290*INDEX(PRODUCTOS!$D$5:$D$44,MATCH($C290,PRODUCTOS!$B$5:$B$44,0))),"")</f>
        <v/>
      </c>
      <c r="J290" s="30">
        <f>IFERROR(IF($C290="","",$H290-$I290),"")</f>
        <v/>
      </c>
      <c r="K290" s="28" t="n"/>
      <c r="L290" s="28" t="n"/>
    </row>
    <row r="291">
      <c r="A291" s="26" t="n"/>
      <c r="B291" s="27">
        <f>IF($A291="","",TEXT($A291,"YYYY-MM"))</f>
        <v/>
      </c>
      <c r="C291" s="28" t="n"/>
      <c r="D291" s="29" t="n"/>
      <c r="E291" s="17">
        <f>IFERROR(IF($C291="","",INDEX(PRODUCTOS!$E$5:$E$44,MATCH($C291,PRODUCTOS!$B$5:$B$44,0))),"")</f>
        <v/>
      </c>
      <c r="F291" s="17">
        <f>IFERROR(IF($C291="","",$D291*$E291),"")</f>
        <v/>
      </c>
      <c r="G291" s="17">
        <f>IFERROR(IF($C291="","",$F291-$H291),"")</f>
        <v/>
      </c>
      <c r="H291" s="17">
        <f>IFERROR(IF($C291="","",$F291/(1+INICIO!$C$5)),"")</f>
        <v/>
      </c>
      <c r="I291" s="17">
        <f>IFERROR(IF($C291="","",$D291*INDEX(PRODUCTOS!$D$5:$D$44,MATCH($C291,PRODUCTOS!$B$5:$B$44,0))),"")</f>
        <v/>
      </c>
      <c r="J291" s="30">
        <f>IFERROR(IF($C291="","",$H291-$I291),"")</f>
        <v/>
      </c>
      <c r="K291" s="28" t="n"/>
      <c r="L291" s="28" t="n"/>
    </row>
    <row r="292">
      <c r="A292" s="26" t="n"/>
      <c r="B292" s="27">
        <f>IF($A292="","",TEXT($A292,"YYYY-MM"))</f>
        <v/>
      </c>
      <c r="C292" s="28" t="n"/>
      <c r="D292" s="29" t="n"/>
      <c r="E292" s="17">
        <f>IFERROR(IF($C292="","",INDEX(PRODUCTOS!$E$5:$E$44,MATCH($C292,PRODUCTOS!$B$5:$B$44,0))),"")</f>
        <v/>
      </c>
      <c r="F292" s="17">
        <f>IFERROR(IF($C292="","",$D292*$E292),"")</f>
        <v/>
      </c>
      <c r="G292" s="17">
        <f>IFERROR(IF($C292="","",$F292-$H292),"")</f>
        <v/>
      </c>
      <c r="H292" s="17">
        <f>IFERROR(IF($C292="","",$F292/(1+INICIO!$C$5)),"")</f>
        <v/>
      </c>
      <c r="I292" s="17">
        <f>IFERROR(IF($C292="","",$D292*INDEX(PRODUCTOS!$D$5:$D$44,MATCH($C292,PRODUCTOS!$B$5:$B$44,0))),"")</f>
        <v/>
      </c>
      <c r="J292" s="30">
        <f>IFERROR(IF($C292="","",$H292-$I292),"")</f>
        <v/>
      </c>
      <c r="K292" s="28" t="n"/>
      <c r="L292" s="28" t="n"/>
    </row>
    <row r="293">
      <c r="A293" s="26" t="n"/>
      <c r="B293" s="27">
        <f>IF($A293="","",TEXT($A293,"YYYY-MM"))</f>
        <v/>
      </c>
      <c r="C293" s="28" t="n"/>
      <c r="D293" s="29" t="n"/>
      <c r="E293" s="17">
        <f>IFERROR(IF($C293="","",INDEX(PRODUCTOS!$E$5:$E$44,MATCH($C293,PRODUCTOS!$B$5:$B$44,0))),"")</f>
        <v/>
      </c>
      <c r="F293" s="17">
        <f>IFERROR(IF($C293="","",$D293*$E293),"")</f>
        <v/>
      </c>
      <c r="G293" s="17">
        <f>IFERROR(IF($C293="","",$F293-$H293),"")</f>
        <v/>
      </c>
      <c r="H293" s="17">
        <f>IFERROR(IF($C293="","",$F293/(1+INICIO!$C$5)),"")</f>
        <v/>
      </c>
      <c r="I293" s="17">
        <f>IFERROR(IF($C293="","",$D293*INDEX(PRODUCTOS!$D$5:$D$44,MATCH($C293,PRODUCTOS!$B$5:$B$44,0))),"")</f>
        <v/>
      </c>
      <c r="J293" s="30">
        <f>IFERROR(IF($C293="","",$H293-$I293),"")</f>
        <v/>
      </c>
      <c r="K293" s="28" t="n"/>
      <c r="L293" s="28" t="n"/>
    </row>
    <row r="294">
      <c r="A294" s="26" t="n"/>
      <c r="B294" s="27">
        <f>IF($A294="","",TEXT($A294,"YYYY-MM"))</f>
        <v/>
      </c>
      <c r="C294" s="28" t="n"/>
      <c r="D294" s="29" t="n"/>
      <c r="E294" s="17">
        <f>IFERROR(IF($C294="","",INDEX(PRODUCTOS!$E$5:$E$44,MATCH($C294,PRODUCTOS!$B$5:$B$44,0))),"")</f>
        <v/>
      </c>
      <c r="F294" s="17">
        <f>IFERROR(IF($C294="","",$D294*$E294),"")</f>
        <v/>
      </c>
      <c r="G294" s="17">
        <f>IFERROR(IF($C294="","",$F294-$H294),"")</f>
        <v/>
      </c>
      <c r="H294" s="17">
        <f>IFERROR(IF($C294="","",$F294/(1+INICIO!$C$5)),"")</f>
        <v/>
      </c>
      <c r="I294" s="17">
        <f>IFERROR(IF($C294="","",$D294*INDEX(PRODUCTOS!$D$5:$D$44,MATCH($C294,PRODUCTOS!$B$5:$B$44,0))),"")</f>
        <v/>
      </c>
      <c r="J294" s="30">
        <f>IFERROR(IF($C294="","",$H294-$I294),"")</f>
        <v/>
      </c>
      <c r="K294" s="28" t="n"/>
      <c r="L294" s="28" t="n"/>
    </row>
    <row r="295">
      <c r="A295" s="26" t="n"/>
      <c r="B295" s="27">
        <f>IF($A295="","",TEXT($A295,"YYYY-MM"))</f>
        <v/>
      </c>
      <c r="C295" s="28" t="n"/>
      <c r="D295" s="29" t="n"/>
      <c r="E295" s="17">
        <f>IFERROR(IF($C295="","",INDEX(PRODUCTOS!$E$5:$E$44,MATCH($C295,PRODUCTOS!$B$5:$B$44,0))),"")</f>
        <v/>
      </c>
      <c r="F295" s="17">
        <f>IFERROR(IF($C295="","",$D295*$E295),"")</f>
        <v/>
      </c>
      <c r="G295" s="17">
        <f>IFERROR(IF($C295="","",$F295-$H295),"")</f>
        <v/>
      </c>
      <c r="H295" s="17">
        <f>IFERROR(IF($C295="","",$F295/(1+INICIO!$C$5)),"")</f>
        <v/>
      </c>
      <c r="I295" s="17">
        <f>IFERROR(IF($C295="","",$D295*INDEX(PRODUCTOS!$D$5:$D$44,MATCH($C295,PRODUCTOS!$B$5:$B$44,0))),"")</f>
        <v/>
      </c>
      <c r="J295" s="30">
        <f>IFERROR(IF($C295="","",$H295-$I295),"")</f>
        <v/>
      </c>
      <c r="K295" s="28" t="n"/>
      <c r="L295" s="28" t="n"/>
    </row>
    <row r="296">
      <c r="A296" s="26" t="n"/>
      <c r="B296" s="27">
        <f>IF($A296="","",TEXT($A296,"YYYY-MM"))</f>
        <v/>
      </c>
      <c r="C296" s="28" t="n"/>
      <c r="D296" s="29" t="n"/>
      <c r="E296" s="17">
        <f>IFERROR(IF($C296="","",INDEX(PRODUCTOS!$E$5:$E$44,MATCH($C296,PRODUCTOS!$B$5:$B$44,0))),"")</f>
        <v/>
      </c>
      <c r="F296" s="17">
        <f>IFERROR(IF($C296="","",$D296*$E296),"")</f>
        <v/>
      </c>
      <c r="G296" s="17">
        <f>IFERROR(IF($C296="","",$F296-$H296),"")</f>
        <v/>
      </c>
      <c r="H296" s="17">
        <f>IFERROR(IF($C296="","",$F296/(1+INICIO!$C$5)),"")</f>
        <v/>
      </c>
      <c r="I296" s="17">
        <f>IFERROR(IF($C296="","",$D296*INDEX(PRODUCTOS!$D$5:$D$44,MATCH($C296,PRODUCTOS!$B$5:$B$44,0))),"")</f>
        <v/>
      </c>
      <c r="J296" s="30">
        <f>IFERROR(IF($C296="","",$H296-$I296),"")</f>
        <v/>
      </c>
      <c r="K296" s="28" t="n"/>
      <c r="L296" s="28" t="n"/>
    </row>
    <row r="297">
      <c r="A297" s="26" t="n"/>
      <c r="B297" s="27">
        <f>IF($A297="","",TEXT($A297,"YYYY-MM"))</f>
        <v/>
      </c>
      <c r="C297" s="28" t="n"/>
      <c r="D297" s="29" t="n"/>
      <c r="E297" s="17">
        <f>IFERROR(IF($C297="","",INDEX(PRODUCTOS!$E$5:$E$44,MATCH($C297,PRODUCTOS!$B$5:$B$44,0))),"")</f>
        <v/>
      </c>
      <c r="F297" s="17">
        <f>IFERROR(IF($C297="","",$D297*$E297),"")</f>
        <v/>
      </c>
      <c r="G297" s="17">
        <f>IFERROR(IF($C297="","",$F297-$H297),"")</f>
        <v/>
      </c>
      <c r="H297" s="17">
        <f>IFERROR(IF($C297="","",$F297/(1+INICIO!$C$5)),"")</f>
        <v/>
      </c>
      <c r="I297" s="17">
        <f>IFERROR(IF($C297="","",$D297*INDEX(PRODUCTOS!$D$5:$D$44,MATCH($C297,PRODUCTOS!$B$5:$B$44,0))),"")</f>
        <v/>
      </c>
      <c r="J297" s="30">
        <f>IFERROR(IF($C297="","",$H297-$I297),"")</f>
        <v/>
      </c>
      <c r="K297" s="28" t="n"/>
      <c r="L297" s="28" t="n"/>
    </row>
    <row r="298">
      <c r="A298" s="26" t="n"/>
      <c r="B298" s="27">
        <f>IF($A298="","",TEXT($A298,"YYYY-MM"))</f>
        <v/>
      </c>
      <c r="C298" s="28" t="n"/>
      <c r="D298" s="29" t="n"/>
      <c r="E298" s="17">
        <f>IFERROR(IF($C298="","",INDEX(PRODUCTOS!$E$5:$E$44,MATCH($C298,PRODUCTOS!$B$5:$B$44,0))),"")</f>
        <v/>
      </c>
      <c r="F298" s="17">
        <f>IFERROR(IF($C298="","",$D298*$E298),"")</f>
        <v/>
      </c>
      <c r="G298" s="17">
        <f>IFERROR(IF($C298="","",$F298-$H298),"")</f>
        <v/>
      </c>
      <c r="H298" s="17">
        <f>IFERROR(IF($C298="","",$F298/(1+INICIO!$C$5)),"")</f>
        <v/>
      </c>
      <c r="I298" s="17">
        <f>IFERROR(IF($C298="","",$D298*INDEX(PRODUCTOS!$D$5:$D$44,MATCH($C298,PRODUCTOS!$B$5:$B$44,0))),"")</f>
        <v/>
      </c>
      <c r="J298" s="30">
        <f>IFERROR(IF($C298="","",$H298-$I298),"")</f>
        <v/>
      </c>
      <c r="K298" s="28" t="n"/>
      <c r="L298" s="28" t="n"/>
    </row>
    <row r="299">
      <c r="A299" s="26" t="n"/>
      <c r="B299" s="27">
        <f>IF($A299="","",TEXT($A299,"YYYY-MM"))</f>
        <v/>
      </c>
      <c r="C299" s="28" t="n"/>
      <c r="D299" s="29" t="n"/>
      <c r="E299" s="17">
        <f>IFERROR(IF($C299="","",INDEX(PRODUCTOS!$E$5:$E$44,MATCH($C299,PRODUCTOS!$B$5:$B$44,0))),"")</f>
        <v/>
      </c>
      <c r="F299" s="17">
        <f>IFERROR(IF($C299="","",$D299*$E299),"")</f>
        <v/>
      </c>
      <c r="G299" s="17">
        <f>IFERROR(IF($C299="","",$F299-$H299),"")</f>
        <v/>
      </c>
      <c r="H299" s="17">
        <f>IFERROR(IF($C299="","",$F299/(1+INICIO!$C$5)),"")</f>
        <v/>
      </c>
      <c r="I299" s="17">
        <f>IFERROR(IF($C299="","",$D299*INDEX(PRODUCTOS!$D$5:$D$44,MATCH($C299,PRODUCTOS!$B$5:$B$44,0))),"")</f>
        <v/>
      </c>
      <c r="J299" s="30">
        <f>IFERROR(IF($C299="","",$H299-$I299),"")</f>
        <v/>
      </c>
      <c r="K299" s="28" t="n"/>
      <c r="L299" s="28" t="n"/>
    </row>
    <row r="300">
      <c r="A300" s="26" t="n"/>
      <c r="B300" s="27">
        <f>IF($A300="","",TEXT($A300,"YYYY-MM"))</f>
        <v/>
      </c>
      <c r="C300" s="28" t="n"/>
      <c r="D300" s="29" t="n"/>
      <c r="E300" s="17">
        <f>IFERROR(IF($C300="","",INDEX(PRODUCTOS!$E$5:$E$44,MATCH($C300,PRODUCTOS!$B$5:$B$44,0))),"")</f>
        <v/>
      </c>
      <c r="F300" s="17">
        <f>IFERROR(IF($C300="","",$D300*$E300),"")</f>
        <v/>
      </c>
      <c r="G300" s="17">
        <f>IFERROR(IF($C300="","",$F300-$H300),"")</f>
        <v/>
      </c>
      <c r="H300" s="17">
        <f>IFERROR(IF($C300="","",$F300/(1+INICIO!$C$5)),"")</f>
        <v/>
      </c>
      <c r="I300" s="17">
        <f>IFERROR(IF($C300="","",$D300*INDEX(PRODUCTOS!$D$5:$D$44,MATCH($C300,PRODUCTOS!$B$5:$B$44,0))),"")</f>
        <v/>
      </c>
      <c r="J300" s="30">
        <f>IFERROR(IF($C300="","",$H300-$I300),"")</f>
        <v/>
      </c>
      <c r="K300" s="28" t="n"/>
      <c r="L300" s="28" t="n"/>
    </row>
    <row r="301">
      <c r="A301" s="26" t="n"/>
      <c r="B301" s="27">
        <f>IF($A301="","",TEXT($A301,"YYYY-MM"))</f>
        <v/>
      </c>
      <c r="C301" s="28" t="n"/>
      <c r="D301" s="29" t="n"/>
      <c r="E301" s="17">
        <f>IFERROR(IF($C301="","",INDEX(PRODUCTOS!$E$5:$E$44,MATCH($C301,PRODUCTOS!$B$5:$B$44,0))),"")</f>
        <v/>
      </c>
      <c r="F301" s="17">
        <f>IFERROR(IF($C301="","",$D301*$E301),"")</f>
        <v/>
      </c>
      <c r="G301" s="17">
        <f>IFERROR(IF($C301="","",$F301-$H301),"")</f>
        <v/>
      </c>
      <c r="H301" s="17">
        <f>IFERROR(IF($C301="","",$F301/(1+INICIO!$C$5)),"")</f>
        <v/>
      </c>
      <c r="I301" s="17">
        <f>IFERROR(IF($C301="","",$D301*INDEX(PRODUCTOS!$D$5:$D$44,MATCH($C301,PRODUCTOS!$B$5:$B$44,0))),"")</f>
        <v/>
      </c>
      <c r="J301" s="30">
        <f>IFERROR(IF($C301="","",$H301-$I301),"")</f>
        <v/>
      </c>
      <c r="K301" s="28" t="n"/>
      <c r="L301" s="28" t="n"/>
    </row>
    <row r="302">
      <c r="A302" s="26" t="n"/>
      <c r="B302" s="27">
        <f>IF($A302="","",TEXT($A302,"YYYY-MM"))</f>
        <v/>
      </c>
      <c r="C302" s="28" t="n"/>
      <c r="D302" s="29" t="n"/>
      <c r="E302" s="17">
        <f>IFERROR(IF($C302="","",INDEX(PRODUCTOS!$E$5:$E$44,MATCH($C302,PRODUCTOS!$B$5:$B$44,0))),"")</f>
        <v/>
      </c>
      <c r="F302" s="17">
        <f>IFERROR(IF($C302="","",$D302*$E302),"")</f>
        <v/>
      </c>
      <c r="G302" s="17">
        <f>IFERROR(IF($C302="","",$F302-$H302),"")</f>
        <v/>
      </c>
      <c r="H302" s="17">
        <f>IFERROR(IF($C302="","",$F302/(1+INICIO!$C$5)),"")</f>
        <v/>
      </c>
      <c r="I302" s="17">
        <f>IFERROR(IF($C302="","",$D302*INDEX(PRODUCTOS!$D$5:$D$44,MATCH($C302,PRODUCTOS!$B$5:$B$44,0))),"")</f>
        <v/>
      </c>
      <c r="J302" s="30">
        <f>IFERROR(IF($C302="","",$H302-$I302),"")</f>
        <v/>
      </c>
      <c r="K302" s="28" t="n"/>
      <c r="L302" s="28" t="n"/>
    </row>
    <row r="303">
      <c r="A303" s="26" t="n"/>
      <c r="B303" s="27">
        <f>IF($A303="","",TEXT($A303,"YYYY-MM"))</f>
        <v/>
      </c>
      <c r="C303" s="28" t="n"/>
      <c r="D303" s="29" t="n"/>
      <c r="E303" s="17">
        <f>IFERROR(IF($C303="","",INDEX(PRODUCTOS!$E$5:$E$44,MATCH($C303,PRODUCTOS!$B$5:$B$44,0))),"")</f>
        <v/>
      </c>
      <c r="F303" s="17">
        <f>IFERROR(IF($C303="","",$D303*$E303),"")</f>
        <v/>
      </c>
      <c r="G303" s="17">
        <f>IFERROR(IF($C303="","",$F303-$H303),"")</f>
        <v/>
      </c>
      <c r="H303" s="17">
        <f>IFERROR(IF($C303="","",$F303/(1+INICIO!$C$5)),"")</f>
        <v/>
      </c>
      <c r="I303" s="17">
        <f>IFERROR(IF($C303="","",$D303*INDEX(PRODUCTOS!$D$5:$D$44,MATCH($C303,PRODUCTOS!$B$5:$B$44,0))),"")</f>
        <v/>
      </c>
      <c r="J303" s="30">
        <f>IFERROR(IF($C303="","",$H303-$I303),"")</f>
        <v/>
      </c>
      <c r="K303" s="28" t="n"/>
      <c r="L303" s="28" t="n"/>
    </row>
    <row r="304">
      <c r="A304" s="26" t="n"/>
      <c r="B304" s="27">
        <f>IF($A304="","",TEXT($A304,"YYYY-MM"))</f>
        <v/>
      </c>
      <c r="C304" s="28" t="n"/>
      <c r="D304" s="29" t="n"/>
      <c r="E304" s="17">
        <f>IFERROR(IF($C304="","",INDEX(PRODUCTOS!$E$5:$E$44,MATCH($C304,PRODUCTOS!$B$5:$B$44,0))),"")</f>
        <v/>
      </c>
      <c r="F304" s="17">
        <f>IFERROR(IF($C304="","",$D304*$E304),"")</f>
        <v/>
      </c>
      <c r="G304" s="17">
        <f>IFERROR(IF($C304="","",$F304-$H304),"")</f>
        <v/>
      </c>
      <c r="H304" s="17">
        <f>IFERROR(IF($C304="","",$F304/(1+INICIO!$C$5)),"")</f>
        <v/>
      </c>
      <c r="I304" s="17">
        <f>IFERROR(IF($C304="","",$D304*INDEX(PRODUCTOS!$D$5:$D$44,MATCH($C304,PRODUCTOS!$B$5:$B$44,0))),"")</f>
        <v/>
      </c>
      <c r="J304" s="30">
        <f>IFERROR(IF($C304="","",$H304-$I304),"")</f>
        <v/>
      </c>
      <c r="K304" s="28" t="n"/>
      <c r="L304" s="28" t="n"/>
    </row>
    <row r="305">
      <c r="A305" s="26" t="n"/>
      <c r="B305" s="27">
        <f>IF($A305="","",TEXT($A305,"YYYY-MM"))</f>
        <v/>
      </c>
      <c r="C305" s="28" t="n"/>
      <c r="D305" s="29" t="n"/>
      <c r="E305" s="17">
        <f>IFERROR(IF($C305="","",INDEX(PRODUCTOS!$E$5:$E$44,MATCH($C305,PRODUCTOS!$B$5:$B$44,0))),"")</f>
        <v/>
      </c>
      <c r="F305" s="17">
        <f>IFERROR(IF($C305="","",$D305*$E305),"")</f>
        <v/>
      </c>
      <c r="G305" s="17">
        <f>IFERROR(IF($C305="","",$F305-$H305),"")</f>
        <v/>
      </c>
      <c r="H305" s="17">
        <f>IFERROR(IF($C305="","",$F305/(1+INICIO!$C$5)),"")</f>
        <v/>
      </c>
      <c r="I305" s="17">
        <f>IFERROR(IF($C305="","",$D305*INDEX(PRODUCTOS!$D$5:$D$44,MATCH($C305,PRODUCTOS!$B$5:$B$44,0))),"")</f>
        <v/>
      </c>
      <c r="J305" s="30">
        <f>IFERROR(IF($C305="","",$H305-$I305),"")</f>
        <v/>
      </c>
      <c r="K305" s="28" t="n"/>
      <c r="L305" s="28" t="n"/>
    </row>
    <row r="306">
      <c r="A306" s="26" t="n"/>
      <c r="B306" s="27">
        <f>IF($A306="","",TEXT($A306,"YYYY-MM"))</f>
        <v/>
      </c>
      <c r="C306" s="28" t="n"/>
      <c r="D306" s="29" t="n"/>
      <c r="E306" s="17">
        <f>IFERROR(IF($C306="","",INDEX(PRODUCTOS!$E$5:$E$44,MATCH($C306,PRODUCTOS!$B$5:$B$44,0))),"")</f>
        <v/>
      </c>
      <c r="F306" s="17">
        <f>IFERROR(IF($C306="","",$D306*$E306),"")</f>
        <v/>
      </c>
      <c r="G306" s="17">
        <f>IFERROR(IF($C306="","",$F306-$H306),"")</f>
        <v/>
      </c>
      <c r="H306" s="17">
        <f>IFERROR(IF($C306="","",$F306/(1+INICIO!$C$5)),"")</f>
        <v/>
      </c>
      <c r="I306" s="17">
        <f>IFERROR(IF($C306="","",$D306*INDEX(PRODUCTOS!$D$5:$D$44,MATCH($C306,PRODUCTOS!$B$5:$B$44,0))),"")</f>
        <v/>
      </c>
      <c r="J306" s="30">
        <f>IFERROR(IF($C306="","",$H306-$I306),"")</f>
        <v/>
      </c>
      <c r="K306" s="28" t="n"/>
      <c r="L306" s="28" t="n"/>
    </row>
    <row r="307">
      <c r="A307" s="26" t="n"/>
      <c r="B307" s="27">
        <f>IF($A307="","",TEXT($A307,"YYYY-MM"))</f>
        <v/>
      </c>
      <c r="C307" s="28" t="n"/>
      <c r="D307" s="29" t="n"/>
      <c r="E307" s="17">
        <f>IFERROR(IF($C307="","",INDEX(PRODUCTOS!$E$5:$E$44,MATCH($C307,PRODUCTOS!$B$5:$B$44,0))),"")</f>
        <v/>
      </c>
      <c r="F307" s="17">
        <f>IFERROR(IF($C307="","",$D307*$E307),"")</f>
        <v/>
      </c>
      <c r="G307" s="17">
        <f>IFERROR(IF($C307="","",$F307-$H307),"")</f>
        <v/>
      </c>
      <c r="H307" s="17">
        <f>IFERROR(IF($C307="","",$F307/(1+INICIO!$C$5)),"")</f>
        <v/>
      </c>
      <c r="I307" s="17">
        <f>IFERROR(IF($C307="","",$D307*INDEX(PRODUCTOS!$D$5:$D$44,MATCH($C307,PRODUCTOS!$B$5:$B$44,0))),"")</f>
        <v/>
      </c>
      <c r="J307" s="30">
        <f>IFERROR(IF($C307="","",$H307-$I307),"")</f>
        <v/>
      </c>
      <c r="K307" s="28" t="n"/>
      <c r="L307" s="28" t="n"/>
    </row>
    <row r="308">
      <c r="A308" s="26" t="n"/>
      <c r="B308" s="27">
        <f>IF($A308="","",TEXT($A308,"YYYY-MM"))</f>
        <v/>
      </c>
      <c r="C308" s="28" t="n"/>
      <c r="D308" s="29" t="n"/>
      <c r="E308" s="17">
        <f>IFERROR(IF($C308="","",INDEX(PRODUCTOS!$E$5:$E$44,MATCH($C308,PRODUCTOS!$B$5:$B$44,0))),"")</f>
        <v/>
      </c>
      <c r="F308" s="17">
        <f>IFERROR(IF($C308="","",$D308*$E308),"")</f>
        <v/>
      </c>
      <c r="G308" s="17">
        <f>IFERROR(IF($C308="","",$F308-$H308),"")</f>
        <v/>
      </c>
      <c r="H308" s="17">
        <f>IFERROR(IF($C308="","",$F308/(1+INICIO!$C$5)),"")</f>
        <v/>
      </c>
      <c r="I308" s="17">
        <f>IFERROR(IF($C308="","",$D308*INDEX(PRODUCTOS!$D$5:$D$44,MATCH($C308,PRODUCTOS!$B$5:$B$44,0))),"")</f>
        <v/>
      </c>
      <c r="J308" s="30">
        <f>IFERROR(IF($C308="","",$H308-$I308),"")</f>
        <v/>
      </c>
      <c r="K308" s="28" t="n"/>
      <c r="L308" s="28" t="n"/>
    </row>
    <row r="309">
      <c r="A309" s="26" t="n"/>
      <c r="B309" s="27">
        <f>IF($A309="","",TEXT($A309,"YYYY-MM"))</f>
        <v/>
      </c>
      <c r="C309" s="28" t="n"/>
      <c r="D309" s="29" t="n"/>
      <c r="E309" s="17">
        <f>IFERROR(IF($C309="","",INDEX(PRODUCTOS!$E$5:$E$44,MATCH($C309,PRODUCTOS!$B$5:$B$44,0))),"")</f>
        <v/>
      </c>
      <c r="F309" s="17">
        <f>IFERROR(IF($C309="","",$D309*$E309),"")</f>
        <v/>
      </c>
      <c r="G309" s="17">
        <f>IFERROR(IF($C309="","",$F309-$H309),"")</f>
        <v/>
      </c>
      <c r="H309" s="17">
        <f>IFERROR(IF($C309="","",$F309/(1+INICIO!$C$5)),"")</f>
        <v/>
      </c>
      <c r="I309" s="17">
        <f>IFERROR(IF($C309="","",$D309*INDEX(PRODUCTOS!$D$5:$D$44,MATCH($C309,PRODUCTOS!$B$5:$B$44,0))),"")</f>
        <v/>
      </c>
      <c r="J309" s="30">
        <f>IFERROR(IF($C309="","",$H309-$I309),"")</f>
        <v/>
      </c>
      <c r="K309" s="28" t="n"/>
      <c r="L309" s="28" t="n"/>
    </row>
    <row r="310">
      <c r="A310" s="26" t="n"/>
      <c r="B310" s="27">
        <f>IF($A310="","",TEXT($A310,"YYYY-MM"))</f>
        <v/>
      </c>
      <c r="C310" s="28" t="n"/>
      <c r="D310" s="29" t="n"/>
      <c r="E310" s="17">
        <f>IFERROR(IF($C310="","",INDEX(PRODUCTOS!$E$5:$E$44,MATCH($C310,PRODUCTOS!$B$5:$B$44,0))),"")</f>
        <v/>
      </c>
      <c r="F310" s="17">
        <f>IFERROR(IF($C310="","",$D310*$E310),"")</f>
        <v/>
      </c>
      <c r="G310" s="17">
        <f>IFERROR(IF($C310="","",$F310-$H310),"")</f>
        <v/>
      </c>
      <c r="H310" s="17">
        <f>IFERROR(IF($C310="","",$F310/(1+INICIO!$C$5)),"")</f>
        <v/>
      </c>
      <c r="I310" s="17">
        <f>IFERROR(IF($C310="","",$D310*INDEX(PRODUCTOS!$D$5:$D$44,MATCH($C310,PRODUCTOS!$B$5:$B$44,0))),"")</f>
        <v/>
      </c>
      <c r="J310" s="30">
        <f>IFERROR(IF($C310="","",$H310-$I310),"")</f>
        <v/>
      </c>
      <c r="K310" s="28" t="n"/>
      <c r="L310" s="28" t="n"/>
    </row>
    <row r="311">
      <c r="A311" s="26" t="n"/>
      <c r="B311" s="27">
        <f>IF($A311="","",TEXT($A311,"YYYY-MM"))</f>
        <v/>
      </c>
      <c r="C311" s="28" t="n"/>
      <c r="D311" s="29" t="n"/>
      <c r="E311" s="17">
        <f>IFERROR(IF($C311="","",INDEX(PRODUCTOS!$E$5:$E$44,MATCH($C311,PRODUCTOS!$B$5:$B$44,0))),"")</f>
        <v/>
      </c>
      <c r="F311" s="17">
        <f>IFERROR(IF($C311="","",$D311*$E311),"")</f>
        <v/>
      </c>
      <c r="G311" s="17">
        <f>IFERROR(IF($C311="","",$F311-$H311),"")</f>
        <v/>
      </c>
      <c r="H311" s="17">
        <f>IFERROR(IF($C311="","",$F311/(1+INICIO!$C$5)),"")</f>
        <v/>
      </c>
      <c r="I311" s="17">
        <f>IFERROR(IF($C311="","",$D311*INDEX(PRODUCTOS!$D$5:$D$44,MATCH($C311,PRODUCTOS!$B$5:$B$44,0))),"")</f>
        <v/>
      </c>
      <c r="J311" s="30">
        <f>IFERROR(IF($C311="","",$H311-$I311),"")</f>
        <v/>
      </c>
      <c r="K311" s="28" t="n"/>
      <c r="L311" s="28" t="n"/>
    </row>
    <row r="312">
      <c r="A312" s="26" t="n"/>
      <c r="B312" s="27">
        <f>IF($A312="","",TEXT($A312,"YYYY-MM"))</f>
        <v/>
      </c>
      <c r="C312" s="28" t="n"/>
      <c r="D312" s="29" t="n"/>
      <c r="E312" s="17">
        <f>IFERROR(IF($C312="","",INDEX(PRODUCTOS!$E$5:$E$44,MATCH($C312,PRODUCTOS!$B$5:$B$44,0))),"")</f>
        <v/>
      </c>
      <c r="F312" s="17">
        <f>IFERROR(IF($C312="","",$D312*$E312),"")</f>
        <v/>
      </c>
      <c r="G312" s="17">
        <f>IFERROR(IF($C312="","",$F312-$H312),"")</f>
        <v/>
      </c>
      <c r="H312" s="17">
        <f>IFERROR(IF($C312="","",$F312/(1+INICIO!$C$5)),"")</f>
        <v/>
      </c>
      <c r="I312" s="17">
        <f>IFERROR(IF($C312="","",$D312*INDEX(PRODUCTOS!$D$5:$D$44,MATCH($C312,PRODUCTOS!$B$5:$B$44,0))),"")</f>
        <v/>
      </c>
      <c r="J312" s="30">
        <f>IFERROR(IF($C312="","",$H312-$I312),"")</f>
        <v/>
      </c>
      <c r="K312" s="28" t="n"/>
      <c r="L312" s="28" t="n"/>
    </row>
    <row r="313">
      <c r="A313" s="26" t="n"/>
      <c r="B313" s="27">
        <f>IF($A313="","",TEXT($A313,"YYYY-MM"))</f>
        <v/>
      </c>
      <c r="C313" s="28" t="n"/>
      <c r="D313" s="29" t="n"/>
      <c r="E313" s="17">
        <f>IFERROR(IF($C313="","",INDEX(PRODUCTOS!$E$5:$E$44,MATCH($C313,PRODUCTOS!$B$5:$B$44,0))),"")</f>
        <v/>
      </c>
      <c r="F313" s="17">
        <f>IFERROR(IF($C313="","",$D313*$E313),"")</f>
        <v/>
      </c>
      <c r="G313" s="17">
        <f>IFERROR(IF($C313="","",$F313-$H313),"")</f>
        <v/>
      </c>
      <c r="H313" s="17">
        <f>IFERROR(IF($C313="","",$F313/(1+INICIO!$C$5)),"")</f>
        <v/>
      </c>
      <c r="I313" s="17">
        <f>IFERROR(IF($C313="","",$D313*INDEX(PRODUCTOS!$D$5:$D$44,MATCH($C313,PRODUCTOS!$B$5:$B$44,0))),"")</f>
        <v/>
      </c>
      <c r="J313" s="30">
        <f>IFERROR(IF($C313="","",$H313-$I313),"")</f>
        <v/>
      </c>
      <c r="K313" s="28" t="n"/>
      <c r="L313" s="28" t="n"/>
    </row>
    <row r="314">
      <c r="A314" s="26" t="n"/>
      <c r="B314" s="27">
        <f>IF($A314="","",TEXT($A314,"YYYY-MM"))</f>
        <v/>
      </c>
      <c r="C314" s="28" t="n"/>
      <c r="D314" s="29" t="n"/>
      <c r="E314" s="17">
        <f>IFERROR(IF($C314="","",INDEX(PRODUCTOS!$E$5:$E$44,MATCH($C314,PRODUCTOS!$B$5:$B$44,0))),"")</f>
        <v/>
      </c>
      <c r="F314" s="17">
        <f>IFERROR(IF($C314="","",$D314*$E314),"")</f>
        <v/>
      </c>
      <c r="G314" s="17">
        <f>IFERROR(IF($C314="","",$F314-$H314),"")</f>
        <v/>
      </c>
      <c r="H314" s="17">
        <f>IFERROR(IF($C314="","",$F314/(1+INICIO!$C$5)),"")</f>
        <v/>
      </c>
      <c r="I314" s="17">
        <f>IFERROR(IF($C314="","",$D314*INDEX(PRODUCTOS!$D$5:$D$44,MATCH($C314,PRODUCTOS!$B$5:$B$44,0))),"")</f>
        <v/>
      </c>
      <c r="J314" s="30">
        <f>IFERROR(IF($C314="","",$H314-$I314),"")</f>
        <v/>
      </c>
      <c r="K314" s="28" t="n"/>
      <c r="L314" s="28" t="n"/>
    </row>
    <row r="315">
      <c r="A315" s="26" t="n"/>
      <c r="B315" s="27">
        <f>IF($A315="","",TEXT($A315,"YYYY-MM"))</f>
        <v/>
      </c>
      <c r="C315" s="28" t="n"/>
      <c r="D315" s="29" t="n"/>
      <c r="E315" s="17">
        <f>IFERROR(IF($C315="","",INDEX(PRODUCTOS!$E$5:$E$44,MATCH($C315,PRODUCTOS!$B$5:$B$44,0))),"")</f>
        <v/>
      </c>
      <c r="F315" s="17">
        <f>IFERROR(IF($C315="","",$D315*$E315),"")</f>
        <v/>
      </c>
      <c r="G315" s="17">
        <f>IFERROR(IF($C315="","",$F315-$H315),"")</f>
        <v/>
      </c>
      <c r="H315" s="17">
        <f>IFERROR(IF($C315="","",$F315/(1+INICIO!$C$5)),"")</f>
        <v/>
      </c>
      <c r="I315" s="17">
        <f>IFERROR(IF($C315="","",$D315*INDEX(PRODUCTOS!$D$5:$D$44,MATCH($C315,PRODUCTOS!$B$5:$B$44,0))),"")</f>
        <v/>
      </c>
      <c r="J315" s="30">
        <f>IFERROR(IF($C315="","",$H315-$I315),"")</f>
        <v/>
      </c>
      <c r="K315" s="28" t="n"/>
      <c r="L315" s="28" t="n"/>
    </row>
    <row r="316">
      <c r="A316" s="26" t="n"/>
      <c r="B316" s="27">
        <f>IF($A316="","",TEXT($A316,"YYYY-MM"))</f>
        <v/>
      </c>
      <c r="C316" s="28" t="n"/>
      <c r="D316" s="29" t="n"/>
      <c r="E316" s="17">
        <f>IFERROR(IF($C316="","",INDEX(PRODUCTOS!$E$5:$E$44,MATCH($C316,PRODUCTOS!$B$5:$B$44,0))),"")</f>
        <v/>
      </c>
      <c r="F316" s="17">
        <f>IFERROR(IF($C316="","",$D316*$E316),"")</f>
        <v/>
      </c>
      <c r="G316" s="17">
        <f>IFERROR(IF($C316="","",$F316-$H316),"")</f>
        <v/>
      </c>
      <c r="H316" s="17">
        <f>IFERROR(IF($C316="","",$F316/(1+INICIO!$C$5)),"")</f>
        <v/>
      </c>
      <c r="I316" s="17">
        <f>IFERROR(IF($C316="","",$D316*INDEX(PRODUCTOS!$D$5:$D$44,MATCH($C316,PRODUCTOS!$B$5:$B$44,0))),"")</f>
        <v/>
      </c>
      <c r="J316" s="30">
        <f>IFERROR(IF($C316="","",$H316-$I316),"")</f>
        <v/>
      </c>
      <c r="K316" s="28" t="n"/>
      <c r="L316" s="28" t="n"/>
    </row>
    <row r="317">
      <c r="A317" s="26" t="n"/>
      <c r="B317" s="27">
        <f>IF($A317="","",TEXT($A317,"YYYY-MM"))</f>
        <v/>
      </c>
      <c r="C317" s="28" t="n"/>
      <c r="D317" s="29" t="n"/>
      <c r="E317" s="17">
        <f>IFERROR(IF($C317="","",INDEX(PRODUCTOS!$E$5:$E$44,MATCH($C317,PRODUCTOS!$B$5:$B$44,0))),"")</f>
        <v/>
      </c>
      <c r="F317" s="17">
        <f>IFERROR(IF($C317="","",$D317*$E317),"")</f>
        <v/>
      </c>
      <c r="G317" s="17">
        <f>IFERROR(IF($C317="","",$F317-$H317),"")</f>
        <v/>
      </c>
      <c r="H317" s="17">
        <f>IFERROR(IF($C317="","",$F317/(1+INICIO!$C$5)),"")</f>
        <v/>
      </c>
      <c r="I317" s="17">
        <f>IFERROR(IF($C317="","",$D317*INDEX(PRODUCTOS!$D$5:$D$44,MATCH($C317,PRODUCTOS!$B$5:$B$44,0))),"")</f>
        <v/>
      </c>
      <c r="J317" s="30">
        <f>IFERROR(IF($C317="","",$H317-$I317),"")</f>
        <v/>
      </c>
      <c r="K317" s="28" t="n"/>
      <c r="L317" s="28" t="n"/>
    </row>
    <row r="318">
      <c r="A318" s="26" t="n"/>
      <c r="B318" s="27">
        <f>IF($A318="","",TEXT($A318,"YYYY-MM"))</f>
        <v/>
      </c>
      <c r="C318" s="28" t="n"/>
      <c r="D318" s="29" t="n"/>
      <c r="E318" s="17">
        <f>IFERROR(IF($C318="","",INDEX(PRODUCTOS!$E$5:$E$44,MATCH($C318,PRODUCTOS!$B$5:$B$44,0))),"")</f>
        <v/>
      </c>
      <c r="F318" s="17">
        <f>IFERROR(IF($C318="","",$D318*$E318),"")</f>
        <v/>
      </c>
      <c r="G318" s="17">
        <f>IFERROR(IF($C318="","",$F318-$H318),"")</f>
        <v/>
      </c>
      <c r="H318" s="17">
        <f>IFERROR(IF($C318="","",$F318/(1+INICIO!$C$5)),"")</f>
        <v/>
      </c>
      <c r="I318" s="17">
        <f>IFERROR(IF($C318="","",$D318*INDEX(PRODUCTOS!$D$5:$D$44,MATCH($C318,PRODUCTOS!$B$5:$B$44,0))),"")</f>
        <v/>
      </c>
      <c r="J318" s="30">
        <f>IFERROR(IF($C318="","",$H318-$I318),"")</f>
        <v/>
      </c>
      <c r="K318" s="28" t="n"/>
      <c r="L318" s="28" t="n"/>
    </row>
    <row r="319">
      <c r="A319" s="26" t="n"/>
      <c r="B319" s="27">
        <f>IF($A319="","",TEXT($A319,"YYYY-MM"))</f>
        <v/>
      </c>
      <c r="C319" s="28" t="n"/>
      <c r="D319" s="29" t="n"/>
      <c r="E319" s="17">
        <f>IFERROR(IF($C319="","",INDEX(PRODUCTOS!$E$5:$E$44,MATCH($C319,PRODUCTOS!$B$5:$B$44,0))),"")</f>
        <v/>
      </c>
      <c r="F319" s="17">
        <f>IFERROR(IF($C319="","",$D319*$E319),"")</f>
        <v/>
      </c>
      <c r="G319" s="17">
        <f>IFERROR(IF($C319="","",$F319-$H319),"")</f>
        <v/>
      </c>
      <c r="H319" s="17">
        <f>IFERROR(IF($C319="","",$F319/(1+INICIO!$C$5)),"")</f>
        <v/>
      </c>
      <c r="I319" s="17">
        <f>IFERROR(IF($C319="","",$D319*INDEX(PRODUCTOS!$D$5:$D$44,MATCH($C319,PRODUCTOS!$B$5:$B$44,0))),"")</f>
        <v/>
      </c>
      <c r="J319" s="30">
        <f>IFERROR(IF($C319="","",$H319-$I319),"")</f>
        <v/>
      </c>
      <c r="K319" s="28" t="n"/>
      <c r="L319" s="28" t="n"/>
    </row>
    <row r="320">
      <c r="A320" s="26" t="n"/>
      <c r="B320" s="27">
        <f>IF($A320="","",TEXT($A320,"YYYY-MM"))</f>
        <v/>
      </c>
      <c r="C320" s="28" t="n"/>
      <c r="D320" s="29" t="n"/>
      <c r="E320" s="17">
        <f>IFERROR(IF($C320="","",INDEX(PRODUCTOS!$E$5:$E$44,MATCH($C320,PRODUCTOS!$B$5:$B$44,0))),"")</f>
        <v/>
      </c>
      <c r="F320" s="17">
        <f>IFERROR(IF($C320="","",$D320*$E320),"")</f>
        <v/>
      </c>
      <c r="G320" s="17">
        <f>IFERROR(IF($C320="","",$F320-$H320),"")</f>
        <v/>
      </c>
      <c r="H320" s="17">
        <f>IFERROR(IF($C320="","",$F320/(1+INICIO!$C$5)),"")</f>
        <v/>
      </c>
      <c r="I320" s="17">
        <f>IFERROR(IF($C320="","",$D320*INDEX(PRODUCTOS!$D$5:$D$44,MATCH($C320,PRODUCTOS!$B$5:$B$44,0))),"")</f>
        <v/>
      </c>
      <c r="J320" s="30">
        <f>IFERROR(IF($C320="","",$H320-$I320),"")</f>
        <v/>
      </c>
      <c r="K320" s="28" t="n"/>
      <c r="L320" s="28" t="n"/>
    </row>
    <row r="321">
      <c r="A321" s="26" t="n"/>
      <c r="B321" s="27">
        <f>IF($A321="","",TEXT($A321,"YYYY-MM"))</f>
        <v/>
      </c>
      <c r="C321" s="28" t="n"/>
      <c r="D321" s="29" t="n"/>
      <c r="E321" s="17">
        <f>IFERROR(IF($C321="","",INDEX(PRODUCTOS!$E$5:$E$44,MATCH($C321,PRODUCTOS!$B$5:$B$44,0))),"")</f>
        <v/>
      </c>
      <c r="F321" s="17">
        <f>IFERROR(IF($C321="","",$D321*$E321),"")</f>
        <v/>
      </c>
      <c r="G321" s="17">
        <f>IFERROR(IF($C321="","",$F321-$H321),"")</f>
        <v/>
      </c>
      <c r="H321" s="17">
        <f>IFERROR(IF($C321="","",$F321/(1+INICIO!$C$5)),"")</f>
        <v/>
      </c>
      <c r="I321" s="17">
        <f>IFERROR(IF($C321="","",$D321*INDEX(PRODUCTOS!$D$5:$D$44,MATCH($C321,PRODUCTOS!$B$5:$B$44,0))),"")</f>
        <v/>
      </c>
      <c r="J321" s="30">
        <f>IFERROR(IF($C321="","",$H321-$I321),"")</f>
        <v/>
      </c>
      <c r="K321" s="28" t="n"/>
      <c r="L321" s="28" t="n"/>
    </row>
    <row r="322">
      <c r="A322" s="26" t="n"/>
      <c r="B322" s="27">
        <f>IF($A322="","",TEXT($A322,"YYYY-MM"))</f>
        <v/>
      </c>
      <c r="C322" s="28" t="n"/>
      <c r="D322" s="29" t="n"/>
      <c r="E322" s="17">
        <f>IFERROR(IF($C322="","",INDEX(PRODUCTOS!$E$5:$E$44,MATCH($C322,PRODUCTOS!$B$5:$B$44,0))),"")</f>
        <v/>
      </c>
      <c r="F322" s="17">
        <f>IFERROR(IF($C322="","",$D322*$E322),"")</f>
        <v/>
      </c>
      <c r="G322" s="17">
        <f>IFERROR(IF($C322="","",$F322-$H322),"")</f>
        <v/>
      </c>
      <c r="H322" s="17">
        <f>IFERROR(IF($C322="","",$F322/(1+INICIO!$C$5)),"")</f>
        <v/>
      </c>
      <c r="I322" s="17">
        <f>IFERROR(IF($C322="","",$D322*INDEX(PRODUCTOS!$D$5:$D$44,MATCH($C322,PRODUCTOS!$B$5:$B$44,0))),"")</f>
        <v/>
      </c>
      <c r="J322" s="30">
        <f>IFERROR(IF($C322="","",$H322-$I322),"")</f>
        <v/>
      </c>
      <c r="K322" s="28" t="n"/>
      <c r="L322" s="28" t="n"/>
    </row>
    <row r="323">
      <c r="A323" s="26" t="n"/>
      <c r="B323" s="27">
        <f>IF($A323="","",TEXT($A323,"YYYY-MM"))</f>
        <v/>
      </c>
      <c r="C323" s="28" t="n"/>
      <c r="D323" s="29" t="n"/>
      <c r="E323" s="17">
        <f>IFERROR(IF($C323="","",INDEX(PRODUCTOS!$E$5:$E$44,MATCH($C323,PRODUCTOS!$B$5:$B$44,0))),"")</f>
        <v/>
      </c>
      <c r="F323" s="17">
        <f>IFERROR(IF($C323="","",$D323*$E323),"")</f>
        <v/>
      </c>
      <c r="G323" s="17">
        <f>IFERROR(IF($C323="","",$F323-$H323),"")</f>
        <v/>
      </c>
      <c r="H323" s="17">
        <f>IFERROR(IF($C323="","",$F323/(1+INICIO!$C$5)),"")</f>
        <v/>
      </c>
      <c r="I323" s="17">
        <f>IFERROR(IF($C323="","",$D323*INDEX(PRODUCTOS!$D$5:$D$44,MATCH($C323,PRODUCTOS!$B$5:$B$44,0))),"")</f>
        <v/>
      </c>
      <c r="J323" s="30">
        <f>IFERROR(IF($C323="","",$H323-$I323),"")</f>
        <v/>
      </c>
      <c r="K323" s="28" t="n"/>
      <c r="L323" s="28" t="n"/>
    </row>
    <row r="324">
      <c r="A324" s="26" t="n"/>
      <c r="B324" s="27">
        <f>IF($A324="","",TEXT($A324,"YYYY-MM"))</f>
        <v/>
      </c>
      <c r="C324" s="28" t="n"/>
      <c r="D324" s="29" t="n"/>
      <c r="E324" s="17">
        <f>IFERROR(IF($C324="","",INDEX(PRODUCTOS!$E$5:$E$44,MATCH($C324,PRODUCTOS!$B$5:$B$44,0))),"")</f>
        <v/>
      </c>
      <c r="F324" s="17">
        <f>IFERROR(IF($C324="","",$D324*$E324),"")</f>
        <v/>
      </c>
      <c r="G324" s="17">
        <f>IFERROR(IF($C324="","",$F324-$H324),"")</f>
        <v/>
      </c>
      <c r="H324" s="17">
        <f>IFERROR(IF($C324="","",$F324/(1+INICIO!$C$5)),"")</f>
        <v/>
      </c>
      <c r="I324" s="17">
        <f>IFERROR(IF($C324="","",$D324*INDEX(PRODUCTOS!$D$5:$D$44,MATCH($C324,PRODUCTOS!$B$5:$B$44,0))),"")</f>
        <v/>
      </c>
      <c r="J324" s="30">
        <f>IFERROR(IF($C324="","",$H324-$I324),"")</f>
        <v/>
      </c>
      <c r="K324" s="28" t="n"/>
      <c r="L324" s="28" t="n"/>
    </row>
    <row r="325">
      <c r="A325" s="26" t="n"/>
      <c r="B325" s="27">
        <f>IF($A325="","",TEXT($A325,"YYYY-MM"))</f>
        <v/>
      </c>
      <c r="C325" s="28" t="n"/>
      <c r="D325" s="29" t="n"/>
      <c r="E325" s="17">
        <f>IFERROR(IF($C325="","",INDEX(PRODUCTOS!$E$5:$E$44,MATCH($C325,PRODUCTOS!$B$5:$B$44,0))),"")</f>
        <v/>
      </c>
      <c r="F325" s="17">
        <f>IFERROR(IF($C325="","",$D325*$E325),"")</f>
        <v/>
      </c>
      <c r="G325" s="17">
        <f>IFERROR(IF($C325="","",$F325-$H325),"")</f>
        <v/>
      </c>
      <c r="H325" s="17">
        <f>IFERROR(IF($C325="","",$F325/(1+INICIO!$C$5)),"")</f>
        <v/>
      </c>
      <c r="I325" s="17">
        <f>IFERROR(IF($C325="","",$D325*INDEX(PRODUCTOS!$D$5:$D$44,MATCH($C325,PRODUCTOS!$B$5:$B$44,0))),"")</f>
        <v/>
      </c>
      <c r="J325" s="30">
        <f>IFERROR(IF($C325="","",$H325-$I325),"")</f>
        <v/>
      </c>
      <c r="K325" s="28" t="n"/>
      <c r="L325" s="28" t="n"/>
    </row>
    <row r="326">
      <c r="A326" s="26" t="n"/>
      <c r="B326" s="27">
        <f>IF($A326="","",TEXT($A326,"YYYY-MM"))</f>
        <v/>
      </c>
      <c r="C326" s="28" t="n"/>
      <c r="D326" s="29" t="n"/>
      <c r="E326" s="17">
        <f>IFERROR(IF($C326="","",INDEX(PRODUCTOS!$E$5:$E$44,MATCH($C326,PRODUCTOS!$B$5:$B$44,0))),"")</f>
        <v/>
      </c>
      <c r="F326" s="17">
        <f>IFERROR(IF($C326="","",$D326*$E326),"")</f>
        <v/>
      </c>
      <c r="G326" s="17">
        <f>IFERROR(IF($C326="","",$F326-$H326),"")</f>
        <v/>
      </c>
      <c r="H326" s="17">
        <f>IFERROR(IF($C326="","",$F326/(1+INICIO!$C$5)),"")</f>
        <v/>
      </c>
      <c r="I326" s="17">
        <f>IFERROR(IF($C326="","",$D326*INDEX(PRODUCTOS!$D$5:$D$44,MATCH($C326,PRODUCTOS!$B$5:$B$44,0))),"")</f>
        <v/>
      </c>
      <c r="J326" s="30">
        <f>IFERROR(IF($C326="","",$H326-$I326),"")</f>
        <v/>
      </c>
      <c r="K326" s="28" t="n"/>
      <c r="L326" s="28" t="n"/>
    </row>
    <row r="327">
      <c r="A327" s="26" t="n"/>
      <c r="B327" s="27">
        <f>IF($A327="","",TEXT($A327,"YYYY-MM"))</f>
        <v/>
      </c>
      <c r="C327" s="28" t="n"/>
      <c r="D327" s="29" t="n"/>
      <c r="E327" s="17">
        <f>IFERROR(IF($C327="","",INDEX(PRODUCTOS!$E$5:$E$44,MATCH($C327,PRODUCTOS!$B$5:$B$44,0))),"")</f>
        <v/>
      </c>
      <c r="F327" s="17">
        <f>IFERROR(IF($C327="","",$D327*$E327),"")</f>
        <v/>
      </c>
      <c r="G327" s="17">
        <f>IFERROR(IF($C327="","",$F327-$H327),"")</f>
        <v/>
      </c>
      <c r="H327" s="17">
        <f>IFERROR(IF($C327="","",$F327/(1+INICIO!$C$5)),"")</f>
        <v/>
      </c>
      <c r="I327" s="17">
        <f>IFERROR(IF($C327="","",$D327*INDEX(PRODUCTOS!$D$5:$D$44,MATCH($C327,PRODUCTOS!$B$5:$B$44,0))),"")</f>
        <v/>
      </c>
      <c r="J327" s="30">
        <f>IFERROR(IF($C327="","",$H327-$I327),"")</f>
        <v/>
      </c>
      <c r="K327" s="28" t="n"/>
      <c r="L327" s="28" t="n"/>
    </row>
    <row r="328">
      <c r="A328" s="26" t="n"/>
      <c r="B328" s="27">
        <f>IF($A328="","",TEXT($A328,"YYYY-MM"))</f>
        <v/>
      </c>
      <c r="C328" s="28" t="n"/>
      <c r="D328" s="29" t="n"/>
      <c r="E328" s="17">
        <f>IFERROR(IF($C328="","",INDEX(PRODUCTOS!$E$5:$E$44,MATCH($C328,PRODUCTOS!$B$5:$B$44,0))),"")</f>
        <v/>
      </c>
      <c r="F328" s="17">
        <f>IFERROR(IF($C328="","",$D328*$E328),"")</f>
        <v/>
      </c>
      <c r="G328" s="17">
        <f>IFERROR(IF($C328="","",$F328-$H328),"")</f>
        <v/>
      </c>
      <c r="H328" s="17">
        <f>IFERROR(IF($C328="","",$F328/(1+INICIO!$C$5)),"")</f>
        <v/>
      </c>
      <c r="I328" s="17">
        <f>IFERROR(IF($C328="","",$D328*INDEX(PRODUCTOS!$D$5:$D$44,MATCH($C328,PRODUCTOS!$B$5:$B$44,0))),"")</f>
        <v/>
      </c>
      <c r="J328" s="30">
        <f>IFERROR(IF($C328="","",$H328-$I328),"")</f>
        <v/>
      </c>
      <c r="K328" s="28" t="n"/>
      <c r="L328" s="28" t="n"/>
    </row>
    <row r="329">
      <c r="A329" s="26" t="n"/>
      <c r="B329" s="27">
        <f>IF($A329="","",TEXT($A329,"YYYY-MM"))</f>
        <v/>
      </c>
      <c r="C329" s="28" t="n"/>
      <c r="D329" s="29" t="n"/>
      <c r="E329" s="17">
        <f>IFERROR(IF($C329="","",INDEX(PRODUCTOS!$E$5:$E$44,MATCH($C329,PRODUCTOS!$B$5:$B$44,0))),"")</f>
        <v/>
      </c>
      <c r="F329" s="17">
        <f>IFERROR(IF($C329="","",$D329*$E329),"")</f>
        <v/>
      </c>
      <c r="G329" s="17">
        <f>IFERROR(IF($C329="","",$F329-$H329),"")</f>
        <v/>
      </c>
      <c r="H329" s="17">
        <f>IFERROR(IF($C329="","",$F329/(1+INICIO!$C$5)),"")</f>
        <v/>
      </c>
      <c r="I329" s="17">
        <f>IFERROR(IF($C329="","",$D329*INDEX(PRODUCTOS!$D$5:$D$44,MATCH($C329,PRODUCTOS!$B$5:$B$44,0))),"")</f>
        <v/>
      </c>
      <c r="J329" s="30">
        <f>IFERROR(IF($C329="","",$H329-$I329),"")</f>
        <v/>
      </c>
      <c r="K329" s="28" t="n"/>
      <c r="L329" s="28" t="n"/>
    </row>
    <row r="330">
      <c r="A330" s="26" t="n"/>
      <c r="B330" s="27">
        <f>IF($A330="","",TEXT($A330,"YYYY-MM"))</f>
        <v/>
      </c>
      <c r="C330" s="28" t="n"/>
      <c r="D330" s="29" t="n"/>
      <c r="E330" s="17">
        <f>IFERROR(IF($C330="","",INDEX(PRODUCTOS!$E$5:$E$44,MATCH($C330,PRODUCTOS!$B$5:$B$44,0))),"")</f>
        <v/>
      </c>
      <c r="F330" s="17">
        <f>IFERROR(IF($C330="","",$D330*$E330),"")</f>
        <v/>
      </c>
      <c r="G330" s="17">
        <f>IFERROR(IF($C330="","",$F330-$H330),"")</f>
        <v/>
      </c>
      <c r="H330" s="17">
        <f>IFERROR(IF($C330="","",$F330/(1+INICIO!$C$5)),"")</f>
        <v/>
      </c>
      <c r="I330" s="17">
        <f>IFERROR(IF($C330="","",$D330*INDEX(PRODUCTOS!$D$5:$D$44,MATCH($C330,PRODUCTOS!$B$5:$B$44,0))),"")</f>
        <v/>
      </c>
      <c r="J330" s="30">
        <f>IFERROR(IF($C330="","",$H330-$I330),"")</f>
        <v/>
      </c>
      <c r="K330" s="28" t="n"/>
      <c r="L330" s="28" t="n"/>
    </row>
    <row r="331">
      <c r="A331" s="26" t="n"/>
      <c r="B331" s="27">
        <f>IF($A331="","",TEXT($A331,"YYYY-MM"))</f>
        <v/>
      </c>
      <c r="C331" s="28" t="n"/>
      <c r="D331" s="29" t="n"/>
      <c r="E331" s="17">
        <f>IFERROR(IF($C331="","",INDEX(PRODUCTOS!$E$5:$E$44,MATCH($C331,PRODUCTOS!$B$5:$B$44,0))),"")</f>
        <v/>
      </c>
      <c r="F331" s="17">
        <f>IFERROR(IF($C331="","",$D331*$E331),"")</f>
        <v/>
      </c>
      <c r="G331" s="17">
        <f>IFERROR(IF($C331="","",$F331-$H331),"")</f>
        <v/>
      </c>
      <c r="H331" s="17">
        <f>IFERROR(IF($C331="","",$F331/(1+INICIO!$C$5)),"")</f>
        <v/>
      </c>
      <c r="I331" s="17">
        <f>IFERROR(IF($C331="","",$D331*INDEX(PRODUCTOS!$D$5:$D$44,MATCH($C331,PRODUCTOS!$B$5:$B$44,0))),"")</f>
        <v/>
      </c>
      <c r="J331" s="30">
        <f>IFERROR(IF($C331="","",$H331-$I331),"")</f>
        <v/>
      </c>
      <c r="K331" s="28" t="n"/>
      <c r="L331" s="28" t="n"/>
    </row>
    <row r="332">
      <c r="A332" s="26" t="n"/>
      <c r="B332" s="27">
        <f>IF($A332="","",TEXT($A332,"YYYY-MM"))</f>
        <v/>
      </c>
      <c r="C332" s="28" t="n"/>
      <c r="D332" s="29" t="n"/>
      <c r="E332" s="17">
        <f>IFERROR(IF($C332="","",INDEX(PRODUCTOS!$E$5:$E$44,MATCH($C332,PRODUCTOS!$B$5:$B$44,0))),"")</f>
        <v/>
      </c>
      <c r="F332" s="17">
        <f>IFERROR(IF($C332="","",$D332*$E332),"")</f>
        <v/>
      </c>
      <c r="G332" s="17">
        <f>IFERROR(IF($C332="","",$F332-$H332),"")</f>
        <v/>
      </c>
      <c r="H332" s="17">
        <f>IFERROR(IF($C332="","",$F332/(1+INICIO!$C$5)),"")</f>
        <v/>
      </c>
      <c r="I332" s="17">
        <f>IFERROR(IF($C332="","",$D332*INDEX(PRODUCTOS!$D$5:$D$44,MATCH($C332,PRODUCTOS!$B$5:$B$44,0))),"")</f>
        <v/>
      </c>
      <c r="J332" s="30">
        <f>IFERROR(IF($C332="","",$H332-$I332),"")</f>
        <v/>
      </c>
      <c r="K332" s="28" t="n"/>
      <c r="L332" s="28" t="n"/>
    </row>
    <row r="333">
      <c r="A333" s="26" t="n"/>
      <c r="B333" s="27">
        <f>IF($A333="","",TEXT($A333,"YYYY-MM"))</f>
        <v/>
      </c>
      <c r="C333" s="28" t="n"/>
      <c r="D333" s="29" t="n"/>
      <c r="E333" s="17">
        <f>IFERROR(IF($C333="","",INDEX(PRODUCTOS!$E$5:$E$44,MATCH($C333,PRODUCTOS!$B$5:$B$44,0))),"")</f>
        <v/>
      </c>
      <c r="F333" s="17">
        <f>IFERROR(IF($C333="","",$D333*$E333),"")</f>
        <v/>
      </c>
      <c r="G333" s="17">
        <f>IFERROR(IF($C333="","",$F333-$H333),"")</f>
        <v/>
      </c>
      <c r="H333" s="17">
        <f>IFERROR(IF($C333="","",$F333/(1+INICIO!$C$5)),"")</f>
        <v/>
      </c>
      <c r="I333" s="17">
        <f>IFERROR(IF($C333="","",$D333*INDEX(PRODUCTOS!$D$5:$D$44,MATCH($C333,PRODUCTOS!$B$5:$B$44,0))),"")</f>
        <v/>
      </c>
      <c r="J333" s="30">
        <f>IFERROR(IF($C333="","",$H333-$I333),"")</f>
        <v/>
      </c>
      <c r="K333" s="28" t="n"/>
      <c r="L333" s="28" t="n"/>
    </row>
    <row r="334">
      <c r="A334" s="26" t="n"/>
      <c r="B334" s="27">
        <f>IF($A334="","",TEXT($A334,"YYYY-MM"))</f>
        <v/>
      </c>
      <c r="C334" s="28" t="n"/>
      <c r="D334" s="29" t="n"/>
      <c r="E334" s="17">
        <f>IFERROR(IF($C334="","",INDEX(PRODUCTOS!$E$5:$E$44,MATCH($C334,PRODUCTOS!$B$5:$B$44,0))),"")</f>
        <v/>
      </c>
      <c r="F334" s="17">
        <f>IFERROR(IF($C334="","",$D334*$E334),"")</f>
        <v/>
      </c>
      <c r="G334" s="17">
        <f>IFERROR(IF($C334="","",$F334-$H334),"")</f>
        <v/>
      </c>
      <c r="H334" s="17">
        <f>IFERROR(IF($C334="","",$F334/(1+INICIO!$C$5)),"")</f>
        <v/>
      </c>
      <c r="I334" s="17">
        <f>IFERROR(IF($C334="","",$D334*INDEX(PRODUCTOS!$D$5:$D$44,MATCH($C334,PRODUCTOS!$B$5:$B$44,0))),"")</f>
        <v/>
      </c>
      <c r="J334" s="30">
        <f>IFERROR(IF($C334="","",$H334-$I334),"")</f>
        <v/>
      </c>
      <c r="K334" s="28" t="n"/>
      <c r="L334" s="28" t="n"/>
    </row>
    <row r="335">
      <c r="A335" s="26" t="n"/>
      <c r="B335" s="27">
        <f>IF($A335="","",TEXT($A335,"YYYY-MM"))</f>
        <v/>
      </c>
      <c r="C335" s="28" t="n"/>
      <c r="D335" s="29" t="n"/>
      <c r="E335" s="17">
        <f>IFERROR(IF($C335="","",INDEX(PRODUCTOS!$E$5:$E$44,MATCH($C335,PRODUCTOS!$B$5:$B$44,0))),"")</f>
        <v/>
      </c>
      <c r="F335" s="17">
        <f>IFERROR(IF($C335="","",$D335*$E335),"")</f>
        <v/>
      </c>
      <c r="G335" s="17">
        <f>IFERROR(IF($C335="","",$F335-$H335),"")</f>
        <v/>
      </c>
      <c r="H335" s="17">
        <f>IFERROR(IF($C335="","",$F335/(1+INICIO!$C$5)),"")</f>
        <v/>
      </c>
      <c r="I335" s="17">
        <f>IFERROR(IF($C335="","",$D335*INDEX(PRODUCTOS!$D$5:$D$44,MATCH($C335,PRODUCTOS!$B$5:$B$44,0))),"")</f>
        <v/>
      </c>
      <c r="J335" s="30">
        <f>IFERROR(IF($C335="","",$H335-$I335),"")</f>
        <v/>
      </c>
      <c r="K335" s="28" t="n"/>
      <c r="L335" s="28" t="n"/>
    </row>
    <row r="336">
      <c r="A336" s="26" t="n"/>
      <c r="B336" s="27">
        <f>IF($A336="","",TEXT($A336,"YYYY-MM"))</f>
        <v/>
      </c>
      <c r="C336" s="28" t="n"/>
      <c r="D336" s="29" t="n"/>
      <c r="E336" s="17">
        <f>IFERROR(IF($C336="","",INDEX(PRODUCTOS!$E$5:$E$44,MATCH($C336,PRODUCTOS!$B$5:$B$44,0))),"")</f>
        <v/>
      </c>
      <c r="F336" s="17">
        <f>IFERROR(IF($C336="","",$D336*$E336),"")</f>
        <v/>
      </c>
      <c r="G336" s="17">
        <f>IFERROR(IF($C336="","",$F336-$H336),"")</f>
        <v/>
      </c>
      <c r="H336" s="17">
        <f>IFERROR(IF($C336="","",$F336/(1+INICIO!$C$5)),"")</f>
        <v/>
      </c>
      <c r="I336" s="17">
        <f>IFERROR(IF($C336="","",$D336*INDEX(PRODUCTOS!$D$5:$D$44,MATCH($C336,PRODUCTOS!$B$5:$B$44,0))),"")</f>
        <v/>
      </c>
      <c r="J336" s="30">
        <f>IFERROR(IF($C336="","",$H336-$I336),"")</f>
        <v/>
      </c>
      <c r="K336" s="28" t="n"/>
      <c r="L336" s="28" t="n"/>
    </row>
    <row r="337">
      <c r="A337" s="26" t="n"/>
      <c r="B337" s="27">
        <f>IF($A337="","",TEXT($A337,"YYYY-MM"))</f>
        <v/>
      </c>
      <c r="C337" s="28" t="n"/>
      <c r="D337" s="29" t="n"/>
      <c r="E337" s="17">
        <f>IFERROR(IF($C337="","",INDEX(PRODUCTOS!$E$5:$E$44,MATCH($C337,PRODUCTOS!$B$5:$B$44,0))),"")</f>
        <v/>
      </c>
      <c r="F337" s="17">
        <f>IFERROR(IF($C337="","",$D337*$E337),"")</f>
        <v/>
      </c>
      <c r="G337" s="17">
        <f>IFERROR(IF($C337="","",$F337-$H337),"")</f>
        <v/>
      </c>
      <c r="H337" s="17">
        <f>IFERROR(IF($C337="","",$F337/(1+INICIO!$C$5)),"")</f>
        <v/>
      </c>
      <c r="I337" s="17">
        <f>IFERROR(IF($C337="","",$D337*INDEX(PRODUCTOS!$D$5:$D$44,MATCH($C337,PRODUCTOS!$B$5:$B$44,0))),"")</f>
        <v/>
      </c>
      <c r="J337" s="30">
        <f>IFERROR(IF($C337="","",$H337-$I337),"")</f>
        <v/>
      </c>
      <c r="K337" s="28" t="n"/>
      <c r="L337" s="28" t="n"/>
    </row>
    <row r="338">
      <c r="A338" s="26" t="n"/>
      <c r="B338" s="27">
        <f>IF($A338="","",TEXT($A338,"YYYY-MM"))</f>
        <v/>
      </c>
      <c r="C338" s="28" t="n"/>
      <c r="D338" s="29" t="n"/>
      <c r="E338" s="17">
        <f>IFERROR(IF($C338="","",INDEX(PRODUCTOS!$E$5:$E$44,MATCH($C338,PRODUCTOS!$B$5:$B$44,0))),"")</f>
        <v/>
      </c>
      <c r="F338" s="17">
        <f>IFERROR(IF($C338="","",$D338*$E338),"")</f>
        <v/>
      </c>
      <c r="G338" s="17">
        <f>IFERROR(IF($C338="","",$F338-$H338),"")</f>
        <v/>
      </c>
      <c r="H338" s="17">
        <f>IFERROR(IF($C338="","",$F338/(1+INICIO!$C$5)),"")</f>
        <v/>
      </c>
      <c r="I338" s="17">
        <f>IFERROR(IF($C338="","",$D338*INDEX(PRODUCTOS!$D$5:$D$44,MATCH($C338,PRODUCTOS!$B$5:$B$44,0))),"")</f>
        <v/>
      </c>
      <c r="J338" s="30">
        <f>IFERROR(IF($C338="","",$H338-$I338),"")</f>
        <v/>
      </c>
      <c r="K338" s="28" t="n"/>
      <c r="L338" s="28" t="n"/>
    </row>
    <row r="339">
      <c r="A339" s="26" t="n"/>
      <c r="B339" s="27">
        <f>IF($A339="","",TEXT($A339,"YYYY-MM"))</f>
        <v/>
      </c>
      <c r="C339" s="28" t="n"/>
      <c r="D339" s="29" t="n"/>
      <c r="E339" s="17">
        <f>IFERROR(IF($C339="","",INDEX(PRODUCTOS!$E$5:$E$44,MATCH($C339,PRODUCTOS!$B$5:$B$44,0))),"")</f>
        <v/>
      </c>
      <c r="F339" s="17">
        <f>IFERROR(IF($C339="","",$D339*$E339),"")</f>
        <v/>
      </c>
      <c r="G339" s="17">
        <f>IFERROR(IF($C339="","",$F339-$H339),"")</f>
        <v/>
      </c>
      <c r="H339" s="17">
        <f>IFERROR(IF($C339="","",$F339/(1+INICIO!$C$5)),"")</f>
        <v/>
      </c>
      <c r="I339" s="17">
        <f>IFERROR(IF($C339="","",$D339*INDEX(PRODUCTOS!$D$5:$D$44,MATCH($C339,PRODUCTOS!$B$5:$B$44,0))),"")</f>
        <v/>
      </c>
      <c r="J339" s="30">
        <f>IFERROR(IF($C339="","",$H339-$I339),"")</f>
        <v/>
      </c>
      <c r="K339" s="28" t="n"/>
      <c r="L339" s="28" t="n"/>
    </row>
    <row r="340">
      <c r="A340" s="26" t="n"/>
      <c r="B340" s="27">
        <f>IF($A340="","",TEXT($A340,"YYYY-MM"))</f>
        <v/>
      </c>
      <c r="C340" s="28" t="n"/>
      <c r="D340" s="29" t="n"/>
      <c r="E340" s="17">
        <f>IFERROR(IF($C340="","",INDEX(PRODUCTOS!$E$5:$E$44,MATCH($C340,PRODUCTOS!$B$5:$B$44,0))),"")</f>
        <v/>
      </c>
      <c r="F340" s="17">
        <f>IFERROR(IF($C340="","",$D340*$E340),"")</f>
        <v/>
      </c>
      <c r="G340" s="17">
        <f>IFERROR(IF($C340="","",$F340-$H340),"")</f>
        <v/>
      </c>
      <c r="H340" s="17">
        <f>IFERROR(IF($C340="","",$F340/(1+INICIO!$C$5)),"")</f>
        <v/>
      </c>
      <c r="I340" s="17">
        <f>IFERROR(IF($C340="","",$D340*INDEX(PRODUCTOS!$D$5:$D$44,MATCH($C340,PRODUCTOS!$B$5:$B$44,0))),"")</f>
        <v/>
      </c>
      <c r="J340" s="30">
        <f>IFERROR(IF($C340="","",$H340-$I340),"")</f>
        <v/>
      </c>
      <c r="K340" s="28" t="n"/>
      <c r="L340" s="28" t="n"/>
    </row>
    <row r="341">
      <c r="A341" s="26" t="n"/>
      <c r="B341" s="27">
        <f>IF($A341="","",TEXT($A341,"YYYY-MM"))</f>
        <v/>
      </c>
      <c r="C341" s="28" t="n"/>
      <c r="D341" s="29" t="n"/>
      <c r="E341" s="17">
        <f>IFERROR(IF($C341="","",INDEX(PRODUCTOS!$E$5:$E$44,MATCH($C341,PRODUCTOS!$B$5:$B$44,0))),"")</f>
        <v/>
      </c>
      <c r="F341" s="17">
        <f>IFERROR(IF($C341="","",$D341*$E341),"")</f>
        <v/>
      </c>
      <c r="G341" s="17">
        <f>IFERROR(IF($C341="","",$F341-$H341),"")</f>
        <v/>
      </c>
      <c r="H341" s="17">
        <f>IFERROR(IF($C341="","",$F341/(1+INICIO!$C$5)),"")</f>
        <v/>
      </c>
      <c r="I341" s="17">
        <f>IFERROR(IF($C341="","",$D341*INDEX(PRODUCTOS!$D$5:$D$44,MATCH($C341,PRODUCTOS!$B$5:$B$44,0))),"")</f>
        <v/>
      </c>
      <c r="J341" s="30">
        <f>IFERROR(IF($C341="","",$H341-$I341),"")</f>
        <v/>
      </c>
      <c r="K341" s="28" t="n"/>
      <c r="L341" s="28" t="n"/>
    </row>
    <row r="342">
      <c r="A342" s="26" t="n"/>
      <c r="B342" s="27">
        <f>IF($A342="","",TEXT($A342,"YYYY-MM"))</f>
        <v/>
      </c>
      <c r="C342" s="28" t="n"/>
      <c r="D342" s="29" t="n"/>
      <c r="E342" s="17">
        <f>IFERROR(IF($C342="","",INDEX(PRODUCTOS!$E$5:$E$44,MATCH($C342,PRODUCTOS!$B$5:$B$44,0))),"")</f>
        <v/>
      </c>
      <c r="F342" s="17">
        <f>IFERROR(IF($C342="","",$D342*$E342),"")</f>
        <v/>
      </c>
      <c r="G342" s="17">
        <f>IFERROR(IF($C342="","",$F342-$H342),"")</f>
        <v/>
      </c>
      <c r="H342" s="17">
        <f>IFERROR(IF($C342="","",$F342/(1+INICIO!$C$5)),"")</f>
        <v/>
      </c>
      <c r="I342" s="17">
        <f>IFERROR(IF($C342="","",$D342*INDEX(PRODUCTOS!$D$5:$D$44,MATCH($C342,PRODUCTOS!$B$5:$B$44,0))),"")</f>
        <v/>
      </c>
      <c r="J342" s="30">
        <f>IFERROR(IF($C342="","",$H342-$I342),"")</f>
        <v/>
      </c>
      <c r="K342" s="28" t="n"/>
      <c r="L342" s="28" t="n"/>
    </row>
    <row r="343">
      <c r="A343" s="26" t="n"/>
      <c r="B343" s="27">
        <f>IF($A343="","",TEXT($A343,"YYYY-MM"))</f>
        <v/>
      </c>
      <c r="C343" s="28" t="n"/>
      <c r="D343" s="29" t="n"/>
      <c r="E343" s="17">
        <f>IFERROR(IF($C343="","",INDEX(PRODUCTOS!$E$5:$E$44,MATCH($C343,PRODUCTOS!$B$5:$B$44,0))),"")</f>
        <v/>
      </c>
      <c r="F343" s="17">
        <f>IFERROR(IF($C343="","",$D343*$E343),"")</f>
        <v/>
      </c>
      <c r="G343" s="17">
        <f>IFERROR(IF($C343="","",$F343-$H343),"")</f>
        <v/>
      </c>
      <c r="H343" s="17">
        <f>IFERROR(IF($C343="","",$F343/(1+INICIO!$C$5)),"")</f>
        <v/>
      </c>
      <c r="I343" s="17">
        <f>IFERROR(IF($C343="","",$D343*INDEX(PRODUCTOS!$D$5:$D$44,MATCH($C343,PRODUCTOS!$B$5:$B$44,0))),"")</f>
        <v/>
      </c>
      <c r="J343" s="30">
        <f>IFERROR(IF($C343="","",$H343-$I343),"")</f>
        <v/>
      </c>
      <c r="K343" s="28" t="n"/>
      <c r="L343" s="28" t="n"/>
    </row>
    <row r="344">
      <c r="A344" s="26" t="n"/>
      <c r="B344" s="27">
        <f>IF($A344="","",TEXT($A344,"YYYY-MM"))</f>
        <v/>
      </c>
      <c r="C344" s="28" t="n"/>
      <c r="D344" s="29" t="n"/>
      <c r="E344" s="17">
        <f>IFERROR(IF($C344="","",INDEX(PRODUCTOS!$E$5:$E$44,MATCH($C344,PRODUCTOS!$B$5:$B$44,0))),"")</f>
        <v/>
      </c>
      <c r="F344" s="17">
        <f>IFERROR(IF($C344="","",$D344*$E344),"")</f>
        <v/>
      </c>
      <c r="G344" s="17">
        <f>IFERROR(IF($C344="","",$F344-$H344),"")</f>
        <v/>
      </c>
      <c r="H344" s="17">
        <f>IFERROR(IF($C344="","",$F344/(1+INICIO!$C$5)),"")</f>
        <v/>
      </c>
      <c r="I344" s="17">
        <f>IFERROR(IF($C344="","",$D344*INDEX(PRODUCTOS!$D$5:$D$44,MATCH($C344,PRODUCTOS!$B$5:$B$44,0))),"")</f>
        <v/>
      </c>
      <c r="J344" s="30">
        <f>IFERROR(IF($C344="","",$H344-$I344),"")</f>
        <v/>
      </c>
      <c r="K344" s="28" t="n"/>
      <c r="L344" s="28" t="n"/>
    </row>
    <row r="345">
      <c r="A345" s="26" t="n"/>
      <c r="B345" s="27">
        <f>IF($A345="","",TEXT($A345,"YYYY-MM"))</f>
        <v/>
      </c>
      <c r="C345" s="28" t="n"/>
      <c r="D345" s="29" t="n"/>
      <c r="E345" s="17">
        <f>IFERROR(IF($C345="","",INDEX(PRODUCTOS!$E$5:$E$44,MATCH($C345,PRODUCTOS!$B$5:$B$44,0))),"")</f>
        <v/>
      </c>
      <c r="F345" s="17">
        <f>IFERROR(IF($C345="","",$D345*$E345),"")</f>
        <v/>
      </c>
      <c r="G345" s="17">
        <f>IFERROR(IF($C345="","",$F345-$H345),"")</f>
        <v/>
      </c>
      <c r="H345" s="17">
        <f>IFERROR(IF($C345="","",$F345/(1+INICIO!$C$5)),"")</f>
        <v/>
      </c>
      <c r="I345" s="17">
        <f>IFERROR(IF($C345="","",$D345*INDEX(PRODUCTOS!$D$5:$D$44,MATCH($C345,PRODUCTOS!$B$5:$B$44,0))),"")</f>
        <v/>
      </c>
      <c r="J345" s="30">
        <f>IFERROR(IF($C345="","",$H345-$I345),"")</f>
        <v/>
      </c>
      <c r="K345" s="28" t="n"/>
      <c r="L345" s="28" t="n"/>
    </row>
    <row r="346">
      <c r="A346" s="26" t="n"/>
      <c r="B346" s="27">
        <f>IF($A346="","",TEXT($A346,"YYYY-MM"))</f>
        <v/>
      </c>
      <c r="C346" s="28" t="n"/>
      <c r="D346" s="29" t="n"/>
      <c r="E346" s="17">
        <f>IFERROR(IF($C346="","",INDEX(PRODUCTOS!$E$5:$E$44,MATCH($C346,PRODUCTOS!$B$5:$B$44,0))),"")</f>
        <v/>
      </c>
      <c r="F346" s="17">
        <f>IFERROR(IF($C346="","",$D346*$E346),"")</f>
        <v/>
      </c>
      <c r="G346" s="17">
        <f>IFERROR(IF($C346="","",$F346-$H346),"")</f>
        <v/>
      </c>
      <c r="H346" s="17">
        <f>IFERROR(IF($C346="","",$F346/(1+INICIO!$C$5)),"")</f>
        <v/>
      </c>
      <c r="I346" s="17">
        <f>IFERROR(IF($C346="","",$D346*INDEX(PRODUCTOS!$D$5:$D$44,MATCH($C346,PRODUCTOS!$B$5:$B$44,0))),"")</f>
        <v/>
      </c>
      <c r="J346" s="30">
        <f>IFERROR(IF($C346="","",$H346-$I346),"")</f>
        <v/>
      </c>
      <c r="K346" s="28" t="n"/>
      <c r="L346" s="28" t="n"/>
    </row>
    <row r="347">
      <c r="A347" s="26" t="n"/>
      <c r="B347" s="27">
        <f>IF($A347="","",TEXT($A347,"YYYY-MM"))</f>
        <v/>
      </c>
      <c r="C347" s="28" t="n"/>
      <c r="D347" s="29" t="n"/>
      <c r="E347" s="17">
        <f>IFERROR(IF($C347="","",INDEX(PRODUCTOS!$E$5:$E$44,MATCH($C347,PRODUCTOS!$B$5:$B$44,0))),"")</f>
        <v/>
      </c>
      <c r="F347" s="17">
        <f>IFERROR(IF($C347="","",$D347*$E347),"")</f>
        <v/>
      </c>
      <c r="G347" s="17">
        <f>IFERROR(IF($C347="","",$F347-$H347),"")</f>
        <v/>
      </c>
      <c r="H347" s="17">
        <f>IFERROR(IF($C347="","",$F347/(1+INICIO!$C$5)),"")</f>
        <v/>
      </c>
      <c r="I347" s="17">
        <f>IFERROR(IF($C347="","",$D347*INDEX(PRODUCTOS!$D$5:$D$44,MATCH($C347,PRODUCTOS!$B$5:$B$44,0))),"")</f>
        <v/>
      </c>
      <c r="J347" s="30">
        <f>IFERROR(IF($C347="","",$H347-$I347),"")</f>
        <v/>
      </c>
      <c r="K347" s="28" t="n"/>
      <c r="L347" s="28" t="n"/>
    </row>
    <row r="348">
      <c r="A348" s="26" t="n"/>
      <c r="B348" s="27">
        <f>IF($A348="","",TEXT($A348,"YYYY-MM"))</f>
        <v/>
      </c>
      <c r="C348" s="28" t="n"/>
      <c r="D348" s="29" t="n"/>
      <c r="E348" s="17">
        <f>IFERROR(IF($C348="","",INDEX(PRODUCTOS!$E$5:$E$44,MATCH($C348,PRODUCTOS!$B$5:$B$44,0))),"")</f>
        <v/>
      </c>
      <c r="F348" s="17">
        <f>IFERROR(IF($C348="","",$D348*$E348),"")</f>
        <v/>
      </c>
      <c r="G348" s="17">
        <f>IFERROR(IF($C348="","",$F348-$H348),"")</f>
        <v/>
      </c>
      <c r="H348" s="17">
        <f>IFERROR(IF($C348="","",$F348/(1+INICIO!$C$5)),"")</f>
        <v/>
      </c>
      <c r="I348" s="17">
        <f>IFERROR(IF($C348="","",$D348*INDEX(PRODUCTOS!$D$5:$D$44,MATCH($C348,PRODUCTOS!$B$5:$B$44,0))),"")</f>
        <v/>
      </c>
      <c r="J348" s="30">
        <f>IFERROR(IF($C348="","",$H348-$I348),"")</f>
        <v/>
      </c>
      <c r="K348" s="28" t="n"/>
      <c r="L348" s="28" t="n"/>
    </row>
    <row r="349">
      <c r="A349" s="26" t="n"/>
      <c r="B349" s="27">
        <f>IF($A349="","",TEXT($A349,"YYYY-MM"))</f>
        <v/>
      </c>
      <c r="C349" s="28" t="n"/>
      <c r="D349" s="29" t="n"/>
      <c r="E349" s="17">
        <f>IFERROR(IF($C349="","",INDEX(PRODUCTOS!$E$5:$E$44,MATCH($C349,PRODUCTOS!$B$5:$B$44,0))),"")</f>
        <v/>
      </c>
      <c r="F349" s="17">
        <f>IFERROR(IF($C349="","",$D349*$E349),"")</f>
        <v/>
      </c>
      <c r="G349" s="17">
        <f>IFERROR(IF($C349="","",$F349-$H349),"")</f>
        <v/>
      </c>
      <c r="H349" s="17">
        <f>IFERROR(IF($C349="","",$F349/(1+INICIO!$C$5)),"")</f>
        <v/>
      </c>
      <c r="I349" s="17">
        <f>IFERROR(IF($C349="","",$D349*INDEX(PRODUCTOS!$D$5:$D$44,MATCH($C349,PRODUCTOS!$B$5:$B$44,0))),"")</f>
        <v/>
      </c>
      <c r="J349" s="30">
        <f>IFERROR(IF($C349="","",$H349-$I349),"")</f>
        <v/>
      </c>
      <c r="K349" s="28" t="n"/>
      <c r="L349" s="28" t="n"/>
    </row>
    <row r="350">
      <c r="A350" s="26" t="n"/>
      <c r="B350" s="27">
        <f>IF($A350="","",TEXT($A350,"YYYY-MM"))</f>
        <v/>
      </c>
      <c r="C350" s="28" t="n"/>
      <c r="D350" s="29" t="n"/>
      <c r="E350" s="17">
        <f>IFERROR(IF($C350="","",INDEX(PRODUCTOS!$E$5:$E$44,MATCH($C350,PRODUCTOS!$B$5:$B$44,0))),"")</f>
        <v/>
      </c>
      <c r="F350" s="17">
        <f>IFERROR(IF($C350="","",$D350*$E350),"")</f>
        <v/>
      </c>
      <c r="G350" s="17">
        <f>IFERROR(IF($C350="","",$F350-$H350),"")</f>
        <v/>
      </c>
      <c r="H350" s="17">
        <f>IFERROR(IF($C350="","",$F350/(1+INICIO!$C$5)),"")</f>
        <v/>
      </c>
      <c r="I350" s="17">
        <f>IFERROR(IF($C350="","",$D350*INDEX(PRODUCTOS!$D$5:$D$44,MATCH($C350,PRODUCTOS!$B$5:$B$44,0))),"")</f>
        <v/>
      </c>
      <c r="J350" s="30">
        <f>IFERROR(IF($C350="","",$H350-$I350),"")</f>
        <v/>
      </c>
      <c r="K350" s="28" t="n"/>
      <c r="L350" s="28" t="n"/>
    </row>
    <row r="351">
      <c r="A351" s="26" t="n"/>
      <c r="B351" s="27">
        <f>IF($A351="","",TEXT($A351,"YYYY-MM"))</f>
        <v/>
      </c>
      <c r="C351" s="28" t="n"/>
      <c r="D351" s="29" t="n"/>
      <c r="E351" s="17">
        <f>IFERROR(IF($C351="","",INDEX(PRODUCTOS!$E$5:$E$44,MATCH($C351,PRODUCTOS!$B$5:$B$44,0))),"")</f>
        <v/>
      </c>
      <c r="F351" s="17">
        <f>IFERROR(IF($C351="","",$D351*$E351),"")</f>
        <v/>
      </c>
      <c r="G351" s="17">
        <f>IFERROR(IF($C351="","",$F351-$H351),"")</f>
        <v/>
      </c>
      <c r="H351" s="17">
        <f>IFERROR(IF($C351="","",$F351/(1+INICIO!$C$5)),"")</f>
        <v/>
      </c>
      <c r="I351" s="17">
        <f>IFERROR(IF($C351="","",$D351*INDEX(PRODUCTOS!$D$5:$D$44,MATCH($C351,PRODUCTOS!$B$5:$B$44,0))),"")</f>
        <v/>
      </c>
      <c r="J351" s="30">
        <f>IFERROR(IF($C351="","",$H351-$I351),"")</f>
        <v/>
      </c>
      <c r="K351" s="28" t="n"/>
      <c r="L351" s="28" t="n"/>
    </row>
    <row r="352">
      <c r="A352" s="26" t="n"/>
      <c r="B352" s="27">
        <f>IF($A352="","",TEXT($A352,"YYYY-MM"))</f>
        <v/>
      </c>
      <c r="C352" s="28" t="n"/>
      <c r="D352" s="29" t="n"/>
      <c r="E352" s="17">
        <f>IFERROR(IF($C352="","",INDEX(PRODUCTOS!$E$5:$E$44,MATCH($C352,PRODUCTOS!$B$5:$B$44,0))),"")</f>
        <v/>
      </c>
      <c r="F352" s="17">
        <f>IFERROR(IF($C352="","",$D352*$E352),"")</f>
        <v/>
      </c>
      <c r="G352" s="17">
        <f>IFERROR(IF($C352="","",$F352-$H352),"")</f>
        <v/>
      </c>
      <c r="H352" s="17">
        <f>IFERROR(IF($C352="","",$F352/(1+INICIO!$C$5)),"")</f>
        <v/>
      </c>
      <c r="I352" s="17">
        <f>IFERROR(IF($C352="","",$D352*INDEX(PRODUCTOS!$D$5:$D$44,MATCH($C352,PRODUCTOS!$B$5:$B$44,0))),"")</f>
        <v/>
      </c>
      <c r="J352" s="30">
        <f>IFERROR(IF($C352="","",$H352-$I352),"")</f>
        <v/>
      </c>
      <c r="K352" s="28" t="n"/>
      <c r="L352" s="28" t="n"/>
    </row>
    <row r="353">
      <c r="A353" s="26" t="n"/>
      <c r="B353" s="27">
        <f>IF($A353="","",TEXT($A353,"YYYY-MM"))</f>
        <v/>
      </c>
      <c r="C353" s="28" t="n"/>
      <c r="D353" s="29" t="n"/>
      <c r="E353" s="17">
        <f>IFERROR(IF($C353="","",INDEX(PRODUCTOS!$E$5:$E$44,MATCH($C353,PRODUCTOS!$B$5:$B$44,0))),"")</f>
        <v/>
      </c>
      <c r="F353" s="17">
        <f>IFERROR(IF($C353="","",$D353*$E353),"")</f>
        <v/>
      </c>
      <c r="G353" s="17">
        <f>IFERROR(IF($C353="","",$F353-$H353),"")</f>
        <v/>
      </c>
      <c r="H353" s="17">
        <f>IFERROR(IF($C353="","",$F353/(1+INICIO!$C$5)),"")</f>
        <v/>
      </c>
      <c r="I353" s="17">
        <f>IFERROR(IF($C353="","",$D353*INDEX(PRODUCTOS!$D$5:$D$44,MATCH($C353,PRODUCTOS!$B$5:$B$44,0))),"")</f>
        <v/>
      </c>
      <c r="J353" s="30">
        <f>IFERROR(IF($C353="","",$H353-$I353),"")</f>
        <v/>
      </c>
      <c r="K353" s="28" t="n"/>
      <c r="L353" s="28" t="n"/>
    </row>
    <row r="354">
      <c r="A354" s="26" t="n"/>
      <c r="B354" s="27">
        <f>IF($A354="","",TEXT($A354,"YYYY-MM"))</f>
        <v/>
      </c>
      <c r="C354" s="28" t="n"/>
      <c r="D354" s="29" t="n"/>
      <c r="E354" s="17">
        <f>IFERROR(IF($C354="","",INDEX(PRODUCTOS!$E$5:$E$44,MATCH($C354,PRODUCTOS!$B$5:$B$44,0))),"")</f>
        <v/>
      </c>
      <c r="F354" s="17">
        <f>IFERROR(IF($C354="","",$D354*$E354),"")</f>
        <v/>
      </c>
      <c r="G354" s="17">
        <f>IFERROR(IF($C354="","",$F354-$H354),"")</f>
        <v/>
      </c>
      <c r="H354" s="17">
        <f>IFERROR(IF($C354="","",$F354/(1+INICIO!$C$5)),"")</f>
        <v/>
      </c>
      <c r="I354" s="17">
        <f>IFERROR(IF($C354="","",$D354*INDEX(PRODUCTOS!$D$5:$D$44,MATCH($C354,PRODUCTOS!$B$5:$B$44,0))),"")</f>
        <v/>
      </c>
      <c r="J354" s="30">
        <f>IFERROR(IF($C354="","",$H354-$I354),"")</f>
        <v/>
      </c>
      <c r="K354" s="28" t="n"/>
      <c r="L354" s="28" t="n"/>
    </row>
    <row r="355">
      <c r="A355" s="26" t="n"/>
      <c r="B355" s="27">
        <f>IF($A355="","",TEXT($A355,"YYYY-MM"))</f>
        <v/>
      </c>
      <c r="C355" s="28" t="n"/>
      <c r="D355" s="29" t="n"/>
      <c r="E355" s="17">
        <f>IFERROR(IF($C355="","",INDEX(PRODUCTOS!$E$5:$E$44,MATCH($C355,PRODUCTOS!$B$5:$B$44,0))),"")</f>
        <v/>
      </c>
      <c r="F355" s="17">
        <f>IFERROR(IF($C355="","",$D355*$E355),"")</f>
        <v/>
      </c>
      <c r="G355" s="17">
        <f>IFERROR(IF($C355="","",$F355-$H355),"")</f>
        <v/>
      </c>
      <c r="H355" s="17">
        <f>IFERROR(IF($C355="","",$F355/(1+INICIO!$C$5)),"")</f>
        <v/>
      </c>
      <c r="I355" s="17">
        <f>IFERROR(IF($C355="","",$D355*INDEX(PRODUCTOS!$D$5:$D$44,MATCH($C355,PRODUCTOS!$B$5:$B$44,0))),"")</f>
        <v/>
      </c>
      <c r="J355" s="30">
        <f>IFERROR(IF($C355="","",$H355-$I355),"")</f>
        <v/>
      </c>
      <c r="K355" s="28" t="n"/>
      <c r="L355" s="28" t="n"/>
    </row>
    <row r="356">
      <c r="A356" s="26" t="n"/>
      <c r="B356" s="27">
        <f>IF($A356="","",TEXT($A356,"YYYY-MM"))</f>
        <v/>
      </c>
      <c r="C356" s="28" t="n"/>
      <c r="D356" s="29" t="n"/>
      <c r="E356" s="17">
        <f>IFERROR(IF($C356="","",INDEX(PRODUCTOS!$E$5:$E$44,MATCH($C356,PRODUCTOS!$B$5:$B$44,0))),"")</f>
        <v/>
      </c>
      <c r="F356" s="17">
        <f>IFERROR(IF($C356="","",$D356*$E356),"")</f>
        <v/>
      </c>
      <c r="G356" s="17">
        <f>IFERROR(IF($C356="","",$F356-$H356),"")</f>
        <v/>
      </c>
      <c r="H356" s="17">
        <f>IFERROR(IF($C356="","",$F356/(1+INICIO!$C$5)),"")</f>
        <v/>
      </c>
      <c r="I356" s="17">
        <f>IFERROR(IF($C356="","",$D356*INDEX(PRODUCTOS!$D$5:$D$44,MATCH($C356,PRODUCTOS!$B$5:$B$44,0))),"")</f>
        <v/>
      </c>
      <c r="J356" s="30">
        <f>IFERROR(IF($C356="","",$H356-$I356),"")</f>
        <v/>
      </c>
      <c r="K356" s="28" t="n"/>
      <c r="L356" s="28" t="n"/>
    </row>
    <row r="357">
      <c r="A357" s="26" t="n"/>
      <c r="B357" s="27">
        <f>IF($A357="","",TEXT($A357,"YYYY-MM"))</f>
        <v/>
      </c>
      <c r="C357" s="28" t="n"/>
      <c r="D357" s="29" t="n"/>
      <c r="E357" s="17">
        <f>IFERROR(IF($C357="","",INDEX(PRODUCTOS!$E$5:$E$44,MATCH($C357,PRODUCTOS!$B$5:$B$44,0))),"")</f>
        <v/>
      </c>
      <c r="F357" s="17">
        <f>IFERROR(IF($C357="","",$D357*$E357),"")</f>
        <v/>
      </c>
      <c r="G357" s="17">
        <f>IFERROR(IF($C357="","",$F357-$H357),"")</f>
        <v/>
      </c>
      <c r="H357" s="17">
        <f>IFERROR(IF($C357="","",$F357/(1+INICIO!$C$5)),"")</f>
        <v/>
      </c>
      <c r="I357" s="17">
        <f>IFERROR(IF($C357="","",$D357*INDEX(PRODUCTOS!$D$5:$D$44,MATCH($C357,PRODUCTOS!$B$5:$B$44,0))),"")</f>
        <v/>
      </c>
      <c r="J357" s="30">
        <f>IFERROR(IF($C357="","",$H357-$I357),"")</f>
        <v/>
      </c>
      <c r="K357" s="28" t="n"/>
      <c r="L357" s="28" t="n"/>
    </row>
    <row r="358">
      <c r="A358" s="26" t="n"/>
      <c r="B358" s="27">
        <f>IF($A358="","",TEXT($A358,"YYYY-MM"))</f>
        <v/>
      </c>
      <c r="C358" s="28" t="n"/>
      <c r="D358" s="29" t="n"/>
      <c r="E358" s="17">
        <f>IFERROR(IF($C358="","",INDEX(PRODUCTOS!$E$5:$E$44,MATCH($C358,PRODUCTOS!$B$5:$B$44,0))),"")</f>
        <v/>
      </c>
      <c r="F358" s="17">
        <f>IFERROR(IF($C358="","",$D358*$E358),"")</f>
        <v/>
      </c>
      <c r="G358" s="17">
        <f>IFERROR(IF($C358="","",$F358-$H358),"")</f>
        <v/>
      </c>
      <c r="H358" s="17">
        <f>IFERROR(IF($C358="","",$F358/(1+INICIO!$C$5)),"")</f>
        <v/>
      </c>
      <c r="I358" s="17">
        <f>IFERROR(IF($C358="","",$D358*INDEX(PRODUCTOS!$D$5:$D$44,MATCH($C358,PRODUCTOS!$B$5:$B$44,0))),"")</f>
        <v/>
      </c>
      <c r="J358" s="30">
        <f>IFERROR(IF($C358="","",$H358-$I358),"")</f>
        <v/>
      </c>
      <c r="K358" s="28" t="n"/>
      <c r="L358" s="28" t="n"/>
    </row>
    <row r="359">
      <c r="A359" s="26" t="n"/>
      <c r="B359" s="27">
        <f>IF($A359="","",TEXT($A359,"YYYY-MM"))</f>
        <v/>
      </c>
      <c r="C359" s="28" t="n"/>
      <c r="D359" s="29" t="n"/>
      <c r="E359" s="17">
        <f>IFERROR(IF($C359="","",INDEX(PRODUCTOS!$E$5:$E$44,MATCH($C359,PRODUCTOS!$B$5:$B$44,0))),"")</f>
        <v/>
      </c>
      <c r="F359" s="17">
        <f>IFERROR(IF($C359="","",$D359*$E359),"")</f>
        <v/>
      </c>
      <c r="G359" s="17">
        <f>IFERROR(IF($C359="","",$F359-$H359),"")</f>
        <v/>
      </c>
      <c r="H359" s="17">
        <f>IFERROR(IF($C359="","",$F359/(1+INICIO!$C$5)),"")</f>
        <v/>
      </c>
      <c r="I359" s="17">
        <f>IFERROR(IF($C359="","",$D359*INDEX(PRODUCTOS!$D$5:$D$44,MATCH($C359,PRODUCTOS!$B$5:$B$44,0))),"")</f>
        <v/>
      </c>
      <c r="J359" s="30">
        <f>IFERROR(IF($C359="","",$H359-$I359),"")</f>
        <v/>
      </c>
      <c r="K359" s="28" t="n"/>
      <c r="L359" s="28" t="n"/>
    </row>
    <row r="360">
      <c r="A360" s="26" t="n"/>
      <c r="B360" s="27">
        <f>IF($A360="","",TEXT($A360,"YYYY-MM"))</f>
        <v/>
      </c>
      <c r="C360" s="28" t="n"/>
      <c r="D360" s="29" t="n"/>
      <c r="E360" s="17">
        <f>IFERROR(IF($C360="","",INDEX(PRODUCTOS!$E$5:$E$44,MATCH($C360,PRODUCTOS!$B$5:$B$44,0))),"")</f>
        <v/>
      </c>
      <c r="F360" s="17">
        <f>IFERROR(IF($C360="","",$D360*$E360),"")</f>
        <v/>
      </c>
      <c r="G360" s="17">
        <f>IFERROR(IF($C360="","",$F360-$H360),"")</f>
        <v/>
      </c>
      <c r="H360" s="17">
        <f>IFERROR(IF($C360="","",$F360/(1+INICIO!$C$5)),"")</f>
        <v/>
      </c>
      <c r="I360" s="17">
        <f>IFERROR(IF($C360="","",$D360*INDEX(PRODUCTOS!$D$5:$D$44,MATCH($C360,PRODUCTOS!$B$5:$B$44,0))),"")</f>
        <v/>
      </c>
      <c r="J360" s="30">
        <f>IFERROR(IF($C360="","",$H360-$I360),"")</f>
        <v/>
      </c>
      <c r="K360" s="28" t="n"/>
      <c r="L360" s="28" t="n"/>
    </row>
    <row r="361">
      <c r="A361" s="26" t="n"/>
      <c r="B361" s="27">
        <f>IF($A361="","",TEXT($A361,"YYYY-MM"))</f>
        <v/>
      </c>
      <c r="C361" s="28" t="n"/>
      <c r="D361" s="29" t="n"/>
      <c r="E361" s="17">
        <f>IFERROR(IF($C361="","",INDEX(PRODUCTOS!$E$5:$E$44,MATCH($C361,PRODUCTOS!$B$5:$B$44,0))),"")</f>
        <v/>
      </c>
      <c r="F361" s="17">
        <f>IFERROR(IF($C361="","",$D361*$E361),"")</f>
        <v/>
      </c>
      <c r="G361" s="17">
        <f>IFERROR(IF($C361="","",$F361-$H361),"")</f>
        <v/>
      </c>
      <c r="H361" s="17">
        <f>IFERROR(IF($C361="","",$F361/(1+INICIO!$C$5)),"")</f>
        <v/>
      </c>
      <c r="I361" s="17">
        <f>IFERROR(IF($C361="","",$D361*INDEX(PRODUCTOS!$D$5:$D$44,MATCH($C361,PRODUCTOS!$B$5:$B$44,0))),"")</f>
        <v/>
      </c>
      <c r="J361" s="30">
        <f>IFERROR(IF($C361="","",$H361-$I361),"")</f>
        <v/>
      </c>
      <c r="K361" s="28" t="n"/>
      <c r="L361" s="28" t="n"/>
    </row>
    <row r="362">
      <c r="A362" s="26" t="n"/>
      <c r="B362" s="27">
        <f>IF($A362="","",TEXT($A362,"YYYY-MM"))</f>
        <v/>
      </c>
      <c r="C362" s="28" t="n"/>
      <c r="D362" s="29" t="n"/>
      <c r="E362" s="17">
        <f>IFERROR(IF($C362="","",INDEX(PRODUCTOS!$E$5:$E$44,MATCH($C362,PRODUCTOS!$B$5:$B$44,0))),"")</f>
        <v/>
      </c>
      <c r="F362" s="17">
        <f>IFERROR(IF($C362="","",$D362*$E362),"")</f>
        <v/>
      </c>
      <c r="G362" s="17">
        <f>IFERROR(IF($C362="","",$F362-$H362),"")</f>
        <v/>
      </c>
      <c r="H362" s="17">
        <f>IFERROR(IF($C362="","",$F362/(1+INICIO!$C$5)),"")</f>
        <v/>
      </c>
      <c r="I362" s="17">
        <f>IFERROR(IF($C362="","",$D362*INDEX(PRODUCTOS!$D$5:$D$44,MATCH($C362,PRODUCTOS!$B$5:$B$44,0))),"")</f>
        <v/>
      </c>
      <c r="J362" s="30">
        <f>IFERROR(IF($C362="","",$H362-$I362),"")</f>
        <v/>
      </c>
      <c r="K362" s="28" t="n"/>
      <c r="L362" s="28" t="n"/>
    </row>
    <row r="363">
      <c r="A363" s="26" t="n"/>
      <c r="B363" s="27">
        <f>IF($A363="","",TEXT($A363,"YYYY-MM"))</f>
        <v/>
      </c>
      <c r="C363" s="28" t="n"/>
      <c r="D363" s="29" t="n"/>
      <c r="E363" s="17">
        <f>IFERROR(IF($C363="","",INDEX(PRODUCTOS!$E$5:$E$44,MATCH($C363,PRODUCTOS!$B$5:$B$44,0))),"")</f>
        <v/>
      </c>
      <c r="F363" s="17">
        <f>IFERROR(IF($C363="","",$D363*$E363),"")</f>
        <v/>
      </c>
      <c r="G363" s="17">
        <f>IFERROR(IF($C363="","",$F363-$H363),"")</f>
        <v/>
      </c>
      <c r="H363" s="17">
        <f>IFERROR(IF($C363="","",$F363/(1+INICIO!$C$5)),"")</f>
        <v/>
      </c>
      <c r="I363" s="17">
        <f>IFERROR(IF($C363="","",$D363*INDEX(PRODUCTOS!$D$5:$D$44,MATCH($C363,PRODUCTOS!$B$5:$B$44,0))),"")</f>
        <v/>
      </c>
      <c r="J363" s="30">
        <f>IFERROR(IF($C363="","",$H363-$I363),"")</f>
        <v/>
      </c>
      <c r="K363" s="28" t="n"/>
      <c r="L363" s="28" t="n"/>
    </row>
    <row r="364">
      <c r="A364" s="26" t="n"/>
      <c r="B364" s="27">
        <f>IF($A364="","",TEXT($A364,"YYYY-MM"))</f>
        <v/>
      </c>
      <c r="C364" s="28" t="n"/>
      <c r="D364" s="29" t="n"/>
      <c r="E364" s="17">
        <f>IFERROR(IF($C364="","",INDEX(PRODUCTOS!$E$5:$E$44,MATCH($C364,PRODUCTOS!$B$5:$B$44,0))),"")</f>
        <v/>
      </c>
      <c r="F364" s="17">
        <f>IFERROR(IF($C364="","",$D364*$E364),"")</f>
        <v/>
      </c>
      <c r="G364" s="17">
        <f>IFERROR(IF($C364="","",$F364-$H364),"")</f>
        <v/>
      </c>
      <c r="H364" s="17">
        <f>IFERROR(IF($C364="","",$F364/(1+INICIO!$C$5)),"")</f>
        <v/>
      </c>
      <c r="I364" s="17">
        <f>IFERROR(IF($C364="","",$D364*INDEX(PRODUCTOS!$D$5:$D$44,MATCH($C364,PRODUCTOS!$B$5:$B$44,0))),"")</f>
        <v/>
      </c>
      <c r="J364" s="30">
        <f>IFERROR(IF($C364="","",$H364-$I364),"")</f>
        <v/>
      </c>
      <c r="K364" s="28" t="n"/>
      <c r="L364" s="28" t="n"/>
    </row>
    <row r="365">
      <c r="A365" s="26" t="n"/>
      <c r="B365" s="27">
        <f>IF($A365="","",TEXT($A365,"YYYY-MM"))</f>
        <v/>
      </c>
      <c r="C365" s="28" t="n"/>
      <c r="D365" s="29" t="n"/>
      <c r="E365" s="17">
        <f>IFERROR(IF($C365="","",INDEX(PRODUCTOS!$E$5:$E$44,MATCH($C365,PRODUCTOS!$B$5:$B$44,0))),"")</f>
        <v/>
      </c>
      <c r="F365" s="17">
        <f>IFERROR(IF($C365="","",$D365*$E365),"")</f>
        <v/>
      </c>
      <c r="G365" s="17">
        <f>IFERROR(IF($C365="","",$F365-$H365),"")</f>
        <v/>
      </c>
      <c r="H365" s="17">
        <f>IFERROR(IF($C365="","",$F365/(1+INICIO!$C$5)),"")</f>
        <v/>
      </c>
      <c r="I365" s="17">
        <f>IFERROR(IF($C365="","",$D365*INDEX(PRODUCTOS!$D$5:$D$44,MATCH($C365,PRODUCTOS!$B$5:$B$44,0))),"")</f>
        <v/>
      </c>
      <c r="J365" s="30">
        <f>IFERROR(IF($C365="","",$H365-$I365),"")</f>
        <v/>
      </c>
      <c r="K365" s="28" t="n"/>
      <c r="L365" s="28" t="n"/>
    </row>
    <row r="366">
      <c r="A366" s="26" t="n"/>
      <c r="B366" s="27">
        <f>IF($A366="","",TEXT($A366,"YYYY-MM"))</f>
        <v/>
      </c>
      <c r="C366" s="28" t="n"/>
      <c r="D366" s="29" t="n"/>
      <c r="E366" s="17">
        <f>IFERROR(IF($C366="","",INDEX(PRODUCTOS!$E$5:$E$44,MATCH($C366,PRODUCTOS!$B$5:$B$44,0))),"")</f>
        <v/>
      </c>
      <c r="F366" s="17">
        <f>IFERROR(IF($C366="","",$D366*$E366),"")</f>
        <v/>
      </c>
      <c r="G366" s="17">
        <f>IFERROR(IF($C366="","",$F366-$H366),"")</f>
        <v/>
      </c>
      <c r="H366" s="17">
        <f>IFERROR(IF($C366="","",$F366/(1+INICIO!$C$5)),"")</f>
        <v/>
      </c>
      <c r="I366" s="17">
        <f>IFERROR(IF($C366="","",$D366*INDEX(PRODUCTOS!$D$5:$D$44,MATCH($C366,PRODUCTOS!$B$5:$B$44,0))),"")</f>
        <v/>
      </c>
      <c r="J366" s="30">
        <f>IFERROR(IF($C366="","",$H366-$I366),"")</f>
        <v/>
      </c>
      <c r="K366" s="28" t="n"/>
      <c r="L366" s="28" t="n"/>
    </row>
    <row r="367">
      <c r="A367" s="26" t="n"/>
      <c r="B367" s="27">
        <f>IF($A367="","",TEXT($A367,"YYYY-MM"))</f>
        <v/>
      </c>
      <c r="C367" s="28" t="n"/>
      <c r="D367" s="29" t="n"/>
      <c r="E367" s="17">
        <f>IFERROR(IF($C367="","",INDEX(PRODUCTOS!$E$5:$E$44,MATCH($C367,PRODUCTOS!$B$5:$B$44,0))),"")</f>
        <v/>
      </c>
      <c r="F367" s="17">
        <f>IFERROR(IF($C367="","",$D367*$E367),"")</f>
        <v/>
      </c>
      <c r="G367" s="17">
        <f>IFERROR(IF($C367="","",$F367-$H367),"")</f>
        <v/>
      </c>
      <c r="H367" s="17">
        <f>IFERROR(IF($C367="","",$F367/(1+INICIO!$C$5)),"")</f>
        <v/>
      </c>
      <c r="I367" s="17">
        <f>IFERROR(IF($C367="","",$D367*INDEX(PRODUCTOS!$D$5:$D$44,MATCH($C367,PRODUCTOS!$B$5:$B$44,0))),"")</f>
        <v/>
      </c>
      <c r="J367" s="30">
        <f>IFERROR(IF($C367="","",$H367-$I367),"")</f>
        <v/>
      </c>
      <c r="K367" s="28" t="n"/>
      <c r="L367" s="28" t="n"/>
    </row>
    <row r="368">
      <c r="A368" s="26" t="n"/>
      <c r="B368" s="27">
        <f>IF($A368="","",TEXT($A368,"YYYY-MM"))</f>
        <v/>
      </c>
      <c r="C368" s="28" t="n"/>
      <c r="D368" s="29" t="n"/>
      <c r="E368" s="17">
        <f>IFERROR(IF($C368="","",INDEX(PRODUCTOS!$E$5:$E$44,MATCH($C368,PRODUCTOS!$B$5:$B$44,0))),"")</f>
        <v/>
      </c>
      <c r="F368" s="17">
        <f>IFERROR(IF($C368="","",$D368*$E368),"")</f>
        <v/>
      </c>
      <c r="G368" s="17">
        <f>IFERROR(IF($C368="","",$F368-$H368),"")</f>
        <v/>
      </c>
      <c r="H368" s="17">
        <f>IFERROR(IF($C368="","",$F368/(1+INICIO!$C$5)),"")</f>
        <v/>
      </c>
      <c r="I368" s="17">
        <f>IFERROR(IF($C368="","",$D368*INDEX(PRODUCTOS!$D$5:$D$44,MATCH($C368,PRODUCTOS!$B$5:$B$44,0))),"")</f>
        <v/>
      </c>
      <c r="J368" s="30">
        <f>IFERROR(IF($C368="","",$H368-$I368),"")</f>
        <v/>
      </c>
      <c r="K368" s="28" t="n"/>
      <c r="L368" s="28" t="n"/>
    </row>
    <row r="369">
      <c r="A369" s="26" t="n"/>
      <c r="B369" s="27">
        <f>IF($A369="","",TEXT($A369,"YYYY-MM"))</f>
        <v/>
      </c>
      <c r="C369" s="28" t="n"/>
      <c r="D369" s="29" t="n"/>
      <c r="E369" s="17">
        <f>IFERROR(IF($C369="","",INDEX(PRODUCTOS!$E$5:$E$44,MATCH($C369,PRODUCTOS!$B$5:$B$44,0))),"")</f>
        <v/>
      </c>
      <c r="F369" s="17">
        <f>IFERROR(IF($C369="","",$D369*$E369),"")</f>
        <v/>
      </c>
      <c r="G369" s="17">
        <f>IFERROR(IF($C369="","",$F369-$H369),"")</f>
        <v/>
      </c>
      <c r="H369" s="17">
        <f>IFERROR(IF($C369="","",$F369/(1+INICIO!$C$5)),"")</f>
        <v/>
      </c>
      <c r="I369" s="17">
        <f>IFERROR(IF($C369="","",$D369*INDEX(PRODUCTOS!$D$5:$D$44,MATCH($C369,PRODUCTOS!$B$5:$B$44,0))),"")</f>
        <v/>
      </c>
      <c r="J369" s="30">
        <f>IFERROR(IF($C369="","",$H369-$I369),"")</f>
        <v/>
      </c>
      <c r="K369" s="28" t="n"/>
      <c r="L369" s="28" t="n"/>
    </row>
    <row r="370">
      <c r="A370" s="26" t="n"/>
      <c r="B370" s="27">
        <f>IF($A370="","",TEXT($A370,"YYYY-MM"))</f>
        <v/>
      </c>
      <c r="C370" s="28" t="n"/>
      <c r="D370" s="29" t="n"/>
      <c r="E370" s="17">
        <f>IFERROR(IF($C370="","",INDEX(PRODUCTOS!$E$5:$E$44,MATCH($C370,PRODUCTOS!$B$5:$B$44,0))),"")</f>
        <v/>
      </c>
      <c r="F370" s="17">
        <f>IFERROR(IF($C370="","",$D370*$E370),"")</f>
        <v/>
      </c>
      <c r="G370" s="17">
        <f>IFERROR(IF($C370="","",$F370-$H370),"")</f>
        <v/>
      </c>
      <c r="H370" s="17">
        <f>IFERROR(IF($C370="","",$F370/(1+INICIO!$C$5)),"")</f>
        <v/>
      </c>
      <c r="I370" s="17">
        <f>IFERROR(IF($C370="","",$D370*INDEX(PRODUCTOS!$D$5:$D$44,MATCH($C370,PRODUCTOS!$B$5:$B$44,0))),"")</f>
        <v/>
      </c>
      <c r="J370" s="30">
        <f>IFERROR(IF($C370="","",$H370-$I370),"")</f>
        <v/>
      </c>
      <c r="K370" s="28" t="n"/>
      <c r="L370" s="28" t="n"/>
    </row>
    <row r="371">
      <c r="A371" s="26" t="n"/>
      <c r="B371" s="27">
        <f>IF($A371="","",TEXT($A371,"YYYY-MM"))</f>
        <v/>
      </c>
      <c r="C371" s="28" t="n"/>
      <c r="D371" s="29" t="n"/>
      <c r="E371" s="17">
        <f>IFERROR(IF($C371="","",INDEX(PRODUCTOS!$E$5:$E$44,MATCH($C371,PRODUCTOS!$B$5:$B$44,0))),"")</f>
        <v/>
      </c>
      <c r="F371" s="17">
        <f>IFERROR(IF($C371="","",$D371*$E371),"")</f>
        <v/>
      </c>
      <c r="G371" s="17">
        <f>IFERROR(IF($C371="","",$F371-$H371),"")</f>
        <v/>
      </c>
      <c r="H371" s="17">
        <f>IFERROR(IF($C371="","",$F371/(1+INICIO!$C$5)),"")</f>
        <v/>
      </c>
      <c r="I371" s="17">
        <f>IFERROR(IF($C371="","",$D371*INDEX(PRODUCTOS!$D$5:$D$44,MATCH($C371,PRODUCTOS!$B$5:$B$44,0))),"")</f>
        <v/>
      </c>
      <c r="J371" s="30">
        <f>IFERROR(IF($C371="","",$H371-$I371),"")</f>
        <v/>
      </c>
      <c r="K371" s="28" t="n"/>
      <c r="L371" s="28" t="n"/>
    </row>
    <row r="372">
      <c r="A372" s="26" t="n"/>
      <c r="B372" s="27">
        <f>IF($A372="","",TEXT($A372,"YYYY-MM"))</f>
        <v/>
      </c>
      <c r="C372" s="28" t="n"/>
      <c r="D372" s="29" t="n"/>
      <c r="E372" s="17">
        <f>IFERROR(IF($C372="","",INDEX(PRODUCTOS!$E$5:$E$44,MATCH($C372,PRODUCTOS!$B$5:$B$44,0))),"")</f>
        <v/>
      </c>
      <c r="F372" s="17">
        <f>IFERROR(IF($C372="","",$D372*$E372),"")</f>
        <v/>
      </c>
      <c r="G372" s="17">
        <f>IFERROR(IF($C372="","",$F372-$H372),"")</f>
        <v/>
      </c>
      <c r="H372" s="17">
        <f>IFERROR(IF($C372="","",$F372/(1+INICIO!$C$5)),"")</f>
        <v/>
      </c>
      <c r="I372" s="17">
        <f>IFERROR(IF($C372="","",$D372*INDEX(PRODUCTOS!$D$5:$D$44,MATCH($C372,PRODUCTOS!$B$5:$B$44,0))),"")</f>
        <v/>
      </c>
      <c r="J372" s="30">
        <f>IFERROR(IF($C372="","",$H372-$I372),"")</f>
        <v/>
      </c>
      <c r="K372" s="28" t="n"/>
      <c r="L372" s="28" t="n"/>
    </row>
    <row r="373">
      <c r="A373" s="26" t="n"/>
      <c r="B373" s="27">
        <f>IF($A373="","",TEXT($A373,"YYYY-MM"))</f>
        <v/>
      </c>
      <c r="C373" s="28" t="n"/>
      <c r="D373" s="29" t="n"/>
      <c r="E373" s="17">
        <f>IFERROR(IF($C373="","",INDEX(PRODUCTOS!$E$5:$E$44,MATCH($C373,PRODUCTOS!$B$5:$B$44,0))),"")</f>
        <v/>
      </c>
      <c r="F373" s="17">
        <f>IFERROR(IF($C373="","",$D373*$E373),"")</f>
        <v/>
      </c>
      <c r="G373" s="17">
        <f>IFERROR(IF($C373="","",$F373-$H373),"")</f>
        <v/>
      </c>
      <c r="H373" s="17">
        <f>IFERROR(IF($C373="","",$F373/(1+INICIO!$C$5)),"")</f>
        <v/>
      </c>
      <c r="I373" s="17">
        <f>IFERROR(IF($C373="","",$D373*INDEX(PRODUCTOS!$D$5:$D$44,MATCH($C373,PRODUCTOS!$B$5:$B$44,0))),"")</f>
        <v/>
      </c>
      <c r="J373" s="30">
        <f>IFERROR(IF($C373="","",$H373-$I373),"")</f>
        <v/>
      </c>
      <c r="K373" s="28" t="n"/>
      <c r="L373" s="28" t="n"/>
    </row>
    <row r="374">
      <c r="A374" s="26" t="n"/>
      <c r="B374" s="27">
        <f>IF($A374="","",TEXT($A374,"YYYY-MM"))</f>
        <v/>
      </c>
      <c r="C374" s="28" t="n"/>
      <c r="D374" s="29" t="n"/>
      <c r="E374" s="17">
        <f>IFERROR(IF($C374="","",INDEX(PRODUCTOS!$E$5:$E$44,MATCH($C374,PRODUCTOS!$B$5:$B$44,0))),"")</f>
        <v/>
      </c>
      <c r="F374" s="17">
        <f>IFERROR(IF($C374="","",$D374*$E374),"")</f>
        <v/>
      </c>
      <c r="G374" s="17">
        <f>IFERROR(IF($C374="","",$F374-$H374),"")</f>
        <v/>
      </c>
      <c r="H374" s="17">
        <f>IFERROR(IF($C374="","",$F374/(1+INICIO!$C$5)),"")</f>
        <v/>
      </c>
      <c r="I374" s="17">
        <f>IFERROR(IF($C374="","",$D374*INDEX(PRODUCTOS!$D$5:$D$44,MATCH($C374,PRODUCTOS!$B$5:$B$44,0))),"")</f>
        <v/>
      </c>
      <c r="J374" s="30">
        <f>IFERROR(IF($C374="","",$H374-$I374),"")</f>
        <v/>
      </c>
      <c r="K374" s="28" t="n"/>
      <c r="L374" s="28" t="n"/>
    </row>
    <row r="375">
      <c r="A375" s="26" t="n"/>
      <c r="B375" s="27">
        <f>IF($A375="","",TEXT($A375,"YYYY-MM"))</f>
        <v/>
      </c>
      <c r="C375" s="28" t="n"/>
      <c r="D375" s="29" t="n"/>
      <c r="E375" s="17">
        <f>IFERROR(IF($C375="","",INDEX(PRODUCTOS!$E$5:$E$44,MATCH($C375,PRODUCTOS!$B$5:$B$44,0))),"")</f>
        <v/>
      </c>
      <c r="F375" s="17">
        <f>IFERROR(IF($C375="","",$D375*$E375),"")</f>
        <v/>
      </c>
      <c r="G375" s="17">
        <f>IFERROR(IF($C375="","",$F375-$H375),"")</f>
        <v/>
      </c>
      <c r="H375" s="17">
        <f>IFERROR(IF($C375="","",$F375/(1+INICIO!$C$5)),"")</f>
        <v/>
      </c>
      <c r="I375" s="17">
        <f>IFERROR(IF($C375="","",$D375*INDEX(PRODUCTOS!$D$5:$D$44,MATCH($C375,PRODUCTOS!$B$5:$B$44,0))),"")</f>
        <v/>
      </c>
      <c r="J375" s="30">
        <f>IFERROR(IF($C375="","",$H375-$I375),"")</f>
        <v/>
      </c>
      <c r="K375" s="28" t="n"/>
      <c r="L375" s="28" t="n"/>
    </row>
    <row r="376">
      <c r="A376" s="26" t="n"/>
      <c r="B376" s="27">
        <f>IF($A376="","",TEXT($A376,"YYYY-MM"))</f>
        <v/>
      </c>
      <c r="C376" s="28" t="n"/>
      <c r="D376" s="29" t="n"/>
      <c r="E376" s="17">
        <f>IFERROR(IF($C376="","",INDEX(PRODUCTOS!$E$5:$E$44,MATCH($C376,PRODUCTOS!$B$5:$B$44,0))),"")</f>
        <v/>
      </c>
      <c r="F376" s="17">
        <f>IFERROR(IF($C376="","",$D376*$E376),"")</f>
        <v/>
      </c>
      <c r="G376" s="17">
        <f>IFERROR(IF($C376="","",$F376-$H376),"")</f>
        <v/>
      </c>
      <c r="H376" s="17">
        <f>IFERROR(IF($C376="","",$F376/(1+INICIO!$C$5)),"")</f>
        <v/>
      </c>
      <c r="I376" s="17">
        <f>IFERROR(IF($C376="","",$D376*INDEX(PRODUCTOS!$D$5:$D$44,MATCH($C376,PRODUCTOS!$B$5:$B$44,0))),"")</f>
        <v/>
      </c>
      <c r="J376" s="30">
        <f>IFERROR(IF($C376="","",$H376-$I376),"")</f>
        <v/>
      </c>
      <c r="K376" s="28" t="n"/>
      <c r="L376" s="28" t="n"/>
    </row>
    <row r="377">
      <c r="A377" s="26" t="n"/>
      <c r="B377" s="27">
        <f>IF($A377="","",TEXT($A377,"YYYY-MM"))</f>
        <v/>
      </c>
      <c r="C377" s="28" t="n"/>
      <c r="D377" s="29" t="n"/>
      <c r="E377" s="17">
        <f>IFERROR(IF($C377="","",INDEX(PRODUCTOS!$E$5:$E$44,MATCH($C377,PRODUCTOS!$B$5:$B$44,0))),"")</f>
        <v/>
      </c>
      <c r="F377" s="17">
        <f>IFERROR(IF($C377="","",$D377*$E377),"")</f>
        <v/>
      </c>
      <c r="G377" s="17">
        <f>IFERROR(IF($C377="","",$F377-$H377),"")</f>
        <v/>
      </c>
      <c r="H377" s="17">
        <f>IFERROR(IF($C377="","",$F377/(1+INICIO!$C$5)),"")</f>
        <v/>
      </c>
      <c r="I377" s="17">
        <f>IFERROR(IF($C377="","",$D377*INDEX(PRODUCTOS!$D$5:$D$44,MATCH($C377,PRODUCTOS!$B$5:$B$44,0))),"")</f>
        <v/>
      </c>
      <c r="J377" s="30">
        <f>IFERROR(IF($C377="","",$H377-$I377),"")</f>
        <v/>
      </c>
      <c r="K377" s="28" t="n"/>
      <c r="L377" s="28" t="n"/>
    </row>
    <row r="378">
      <c r="A378" s="26" t="n"/>
      <c r="B378" s="27">
        <f>IF($A378="","",TEXT($A378,"YYYY-MM"))</f>
        <v/>
      </c>
      <c r="C378" s="28" t="n"/>
      <c r="D378" s="29" t="n"/>
      <c r="E378" s="17">
        <f>IFERROR(IF($C378="","",INDEX(PRODUCTOS!$E$5:$E$44,MATCH($C378,PRODUCTOS!$B$5:$B$44,0))),"")</f>
        <v/>
      </c>
      <c r="F378" s="17">
        <f>IFERROR(IF($C378="","",$D378*$E378),"")</f>
        <v/>
      </c>
      <c r="G378" s="17">
        <f>IFERROR(IF($C378="","",$F378-$H378),"")</f>
        <v/>
      </c>
      <c r="H378" s="17">
        <f>IFERROR(IF($C378="","",$F378/(1+INICIO!$C$5)),"")</f>
        <v/>
      </c>
      <c r="I378" s="17">
        <f>IFERROR(IF($C378="","",$D378*INDEX(PRODUCTOS!$D$5:$D$44,MATCH($C378,PRODUCTOS!$B$5:$B$44,0))),"")</f>
        <v/>
      </c>
      <c r="J378" s="30">
        <f>IFERROR(IF($C378="","",$H378-$I378),"")</f>
        <v/>
      </c>
      <c r="K378" s="28" t="n"/>
      <c r="L378" s="28" t="n"/>
    </row>
    <row r="379">
      <c r="A379" s="26" t="n"/>
      <c r="B379" s="27">
        <f>IF($A379="","",TEXT($A379,"YYYY-MM"))</f>
        <v/>
      </c>
      <c r="C379" s="28" t="n"/>
      <c r="D379" s="29" t="n"/>
      <c r="E379" s="17">
        <f>IFERROR(IF($C379="","",INDEX(PRODUCTOS!$E$5:$E$44,MATCH($C379,PRODUCTOS!$B$5:$B$44,0))),"")</f>
        <v/>
      </c>
      <c r="F379" s="17">
        <f>IFERROR(IF($C379="","",$D379*$E379),"")</f>
        <v/>
      </c>
      <c r="G379" s="17">
        <f>IFERROR(IF($C379="","",$F379-$H379),"")</f>
        <v/>
      </c>
      <c r="H379" s="17">
        <f>IFERROR(IF($C379="","",$F379/(1+INICIO!$C$5)),"")</f>
        <v/>
      </c>
      <c r="I379" s="17">
        <f>IFERROR(IF($C379="","",$D379*INDEX(PRODUCTOS!$D$5:$D$44,MATCH($C379,PRODUCTOS!$B$5:$B$44,0))),"")</f>
        <v/>
      </c>
      <c r="J379" s="30">
        <f>IFERROR(IF($C379="","",$H379-$I379),"")</f>
        <v/>
      </c>
      <c r="K379" s="28" t="n"/>
      <c r="L379" s="28" t="n"/>
    </row>
    <row r="380">
      <c r="A380" s="26" t="n"/>
      <c r="B380" s="27">
        <f>IF($A380="","",TEXT($A380,"YYYY-MM"))</f>
        <v/>
      </c>
      <c r="C380" s="28" t="n"/>
      <c r="D380" s="29" t="n"/>
      <c r="E380" s="17">
        <f>IFERROR(IF($C380="","",INDEX(PRODUCTOS!$E$5:$E$44,MATCH($C380,PRODUCTOS!$B$5:$B$44,0))),"")</f>
        <v/>
      </c>
      <c r="F380" s="17">
        <f>IFERROR(IF($C380="","",$D380*$E380),"")</f>
        <v/>
      </c>
      <c r="G380" s="17">
        <f>IFERROR(IF($C380="","",$F380-$H380),"")</f>
        <v/>
      </c>
      <c r="H380" s="17">
        <f>IFERROR(IF($C380="","",$F380/(1+INICIO!$C$5)),"")</f>
        <v/>
      </c>
      <c r="I380" s="17">
        <f>IFERROR(IF($C380="","",$D380*INDEX(PRODUCTOS!$D$5:$D$44,MATCH($C380,PRODUCTOS!$B$5:$B$44,0))),"")</f>
        <v/>
      </c>
      <c r="J380" s="30">
        <f>IFERROR(IF($C380="","",$H380-$I380),"")</f>
        <v/>
      </c>
      <c r="K380" s="28" t="n"/>
      <c r="L380" s="28" t="n"/>
    </row>
    <row r="381">
      <c r="A381" s="26" t="n"/>
      <c r="B381" s="27">
        <f>IF($A381="","",TEXT($A381,"YYYY-MM"))</f>
        <v/>
      </c>
      <c r="C381" s="28" t="n"/>
      <c r="D381" s="29" t="n"/>
      <c r="E381" s="17">
        <f>IFERROR(IF($C381="","",INDEX(PRODUCTOS!$E$5:$E$44,MATCH($C381,PRODUCTOS!$B$5:$B$44,0))),"")</f>
        <v/>
      </c>
      <c r="F381" s="17">
        <f>IFERROR(IF($C381="","",$D381*$E381),"")</f>
        <v/>
      </c>
      <c r="G381" s="17">
        <f>IFERROR(IF($C381="","",$F381-$H381),"")</f>
        <v/>
      </c>
      <c r="H381" s="17">
        <f>IFERROR(IF($C381="","",$F381/(1+INICIO!$C$5)),"")</f>
        <v/>
      </c>
      <c r="I381" s="17">
        <f>IFERROR(IF($C381="","",$D381*INDEX(PRODUCTOS!$D$5:$D$44,MATCH($C381,PRODUCTOS!$B$5:$B$44,0))),"")</f>
        <v/>
      </c>
      <c r="J381" s="30">
        <f>IFERROR(IF($C381="","",$H381-$I381),"")</f>
        <v/>
      </c>
      <c r="K381" s="28" t="n"/>
      <c r="L381" s="28" t="n"/>
    </row>
    <row r="382">
      <c r="A382" s="26" t="n"/>
      <c r="B382" s="27">
        <f>IF($A382="","",TEXT($A382,"YYYY-MM"))</f>
        <v/>
      </c>
      <c r="C382" s="28" t="n"/>
      <c r="D382" s="29" t="n"/>
      <c r="E382" s="17">
        <f>IFERROR(IF($C382="","",INDEX(PRODUCTOS!$E$5:$E$44,MATCH($C382,PRODUCTOS!$B$5:$B$44,0))),"")</f>
        <v/>
      </c>
      <c r="F382" s="17">
        <f>IFERROR(IF($C382="","",$D382*$E382),"")</f>
        <v/>
      </c>
      <c r="G382" s="17">
        <f>IFERROR(IF($C382="","",$F382-$H382),"")</f>
        <v/>
      </c>
      <c r="H382" s="17">
        <f>IFERROR(IF($C382="","",$F382/(1+INICIO!$C$5)),"")</f>
        <v/>
      </c>
      <c r="I382" s="17">
        <f>IFERROR(IF($C382="","",$D382*INDEX(PRODUCTOS!$D$5:$D$44,MATCH($C382,PRODUCTOS!$B$5:$B$44,0))),"")</f>
        <v/>
      </c>
      <c r="J382" s="30">
        <f>IFERROR(IF($C382="","",$H382-$I382),"")</f>
        <v/>
      </c>
      <c r="K382" s="28" t="n"/>
      <c r="L382" s="28" t="n"/>
    </row>
    <row r="383">
      <c r="A383" s="26" t="n"/>
      <c r="B383" s="27">
        <f>IF($A383="","",TEXT($A383,"YYYY-MM"))</f>
        <v/>
      </c>
      <c r="C383" s="28" t="n"/>
      <c r="D383" s="29" t="n"/>
      <c r="E383" s="17">
        <f>IFERROR(IF($C383="","",INDEX(PRODUCTOS!$E$5:$E$44,MATCH($C383,PRODUCTOS!$B$5:$B$44,0))),"")</f>
        <v/>
      </c>
      <c r="F383" s="17">
        <f>IFERROR(IF($C383="","",$D383*$E383),"")</f>
        <v/>
      </c>
      <c r="G383" s="17">
        <f>IFERROR(IF($C383="","",$F383-$H383),"")</f>
        <v/>
      </c>
      <c r="H383" s="17">
        <f>IFERROR(IF($C383="","",$F383/(1+INICIO!$C$5)),"")</f>
        <v/>
      </c>
      <c r="I383" s="17">
        <f>IFERROR(IF($C383="","",$D383*INDEX(PRODUCTOS!$D$5:$D$44,MATCH($C383,PRODUCTOS!$B$5:$B$44,0))),"")</f>
        <v/>
      </c>
      <c r="J383" s="30">
        <f>IFERROR(IF($C383="","",$H383-$I383),"")</f>
        <v/>
      </c>
      <c r="K383" s="28" t="n"/>
      <c r="L383" s="28" t="n"/>
    </row>
    <row r="384">
      <c r="A384" s="26" t="n"/>
      <c r="B384" s="27">
        <f>IF($A384="","",TEXT($A384,"YYYY-MM"))</f>
        <v/>
      </c>
      <c r="C384" s="28" t="n"/>
      <c r="D384" s="29" t="n"/>
      <c r="E384" s="17">
        <f>IFERROR(IF($C384="","",INDEX(PRODUCTOS!$E$5:$E$44,MATCH($C384,PRODUCTOS!$B$5:$B$44,0))),"")</f>
        <v/>
      </c>
      <c r="F384" s="17">
        <f>IFERROR(IF($C384="","",$D384*$E384),"")</f>
        <v/>
      </c>
      <c r="G384" s="17">
        <f>IFERROR(IF($C384="","",$F384-$H384),"")</f>
        <v/>
      </c>
      <c r="H384" s="17">
        <f>IFERROR(IF($C384="","",$F384/(1+INICIO!$C$5)),"")</f>
        <v/>
      </c>
      <c r="I384" s="17">
        <f>IFERROR(IF($C384="","",$D384*INDEX(PRODUCTOS!$D$5:$D$44,MATCH($C384,PRODUCTOS!$B$5:$B$44,0))),"")</f>
        <v/>
      </c>
      <c r="J384" s="30">
        <f>IFERROR(IF($C384="","",$H384-$I384),"")</f>
        <v/>
      </c>
      <c r="K384" s="28" t="n"/>
      <c r="L384" s="28" t="n"/>
    </row>
    <row r="385">
      <c r="A385" s="26" t="n"/>
      <c r="B385" s="27">
        <f>IF($A385="","",TEXT($A385,"YYYY-MM"))</f>
        <v/>
      </c>
      <c r="C385" s="28" t="n"/>
      <c r="D385" s="29" t="n"/>
      <c r="E385" s="17">
        <f>IFERROR(IF($C385="","",INDEX(PRODUCTOS!$E$5:$E$44,MATCH($C385,PRODUCTOS!$B$5:$B$44,0))),"")</f>
        <v/>
      </c>
      <c r="F385" s="17">
        <f>IFERROR(IF($C385="","",$D385*$E385),"")</f>
        <v/>
      </c>
      <c r="G385" s="17">
        <f>IFERROR(IF($C385="","",$F385-$H385),"")</f>
        <v/>
      </c>
      <c r="H385" s="17">
        <f>IFERROR(IF($C385="","",$F385/(1+INICIO!$C$5)),"")</f>
        <v/>
      </c>
      <c r="I385" s="17">
        <f>IFERROR(IF($C385="","",$D385*INDEX(PRODUCTOS!$D$5:$D$44,MATCH($C385,PRODUCTOS!$B$5:$B$44,0))),"")</f>
        <v/>
      </c>
      <c r="J385" s="30">
        <f>IFERROR(IF($C385="","",$H385-$I385),"")</f>
        <v/>
      </c>
      <c r="K385" s="28" t="n"/>
      <c r="L385" s="28" t="n"/>
    </row>
    <row r="386">
      <c r="A386" s="26" t="n"/>
      <c r="B386" s="27">
        <f>IF($A386="","",TEXT($A386,"YYYY-MM"))</f>
        <v/>
      </c>
      <c r="C386" s="28" t="n"/>
      <c r="D386" s="29" t="n"/>
      <c r="E386" s="17">
        <f>IFERROR(IF($C386="","",INDEX(PRODUCTOS!$E$5:$E$44,MATCH($C386,PRODUCTOS!$B$5:$B$44,0))),"")</f>
        <v/>
      </c>
      <c r="F386" s="17">
        <f>IFERROR(IF($C386="","",$D386*$E386),"")</f>
        <v/>
      </c>
      <c r="G386" s="17">
        <f>IFERROR(IF($C386="","",$F386-$H386),"")</f>
        <v/>
      </c>
      <c r="H386" s="17">
        <f>IFERROR(IF($C386="","",$F386/(1+INICIO!$C$5)),"")</f>
        <v/>
      </c>
      <c r="I386" s="17">
        <f>IFERROR(IF($C386="","",$D386*INDEX(PRODUCTOS!$D$5:$D$44,MATCH($C386,PRODUCTOS!$B$5:$B$44,0))),"")</f>
        <v/>
      </c>
      <c r="J386" s="30">
        <f>IFERROR(IF($C386="","",$H386-$I386),"")</f>
        <v/>
      </c>
      <c r="K386" s="28" t="n"/>
      <c r="L386" s="28" t="n"/>
    </row>
    <row r="387">
      <c r="A387" s="26" t="n"/>
      <c r="B387" s="27">
        <f>IF($A387="","",TEXT($A387,"YYYY-MM"))</f>
        <v/>
      </c>
      <c r="C387" s="28" t="n"/>
      <c r="D387" s="29" t="n"/>
      <c r="E387" s="17">
        <f>IFERROR(IF($C387="","",INDEX(PRODUCTOS!$E$5:$E$44,MATCH($C387,PRODUCTOS!$B$5:$B$44,0))),"")</f>
        <v/>
      </c>
      <c r="F387" s="17">
        <f>IFERROR(IF($C387="","",$D387*$E387),"")</f>
        <v/>
      </c>
      <c r="G387" s="17">
        <f>IFERROR(IF($C387="","",$F387-$H387),"")</f>
        <v/>
      </c>
      <c r="H387" s="17">
        <f>IFERROR(IF($C387="","",$F387/(1+INICIO!$C$5)),"")</f>
        <v/>
      </c>
      <c r="I387" s="17">
        <f>IFERROR(IF($C387="","",$D387*INDEX(PRODUCTOS!$D$5:$D$44,MATCH($C387,PRODUCTOS!$B$5:$B$44,0))),"")</f>
        <v/>
      </c>
      <c r="J387" s="30">
        <f>IFERROR(IF($C387="","",$H387-$I387),"")</f>
        <v/>
      </c>
      <c r="K387" s="28" t="n"/>
      <c r="L387" s="28" t="n"/>
    </row>
    <row r="388">
      <c r="A388" s="26" t="n"/>
      <c r="B388" s="27">
        <f>IF($A388="","",TEXT($A388,"YYYY-MM"))</f>
        <v/>
      </c>
      <c r="C388" s="28" t="n"/>
      <c r="D388" s="29" t="n"/>
      <c r="E388" s="17">
        <f>IFERROR(IF($C388="","",INDEX(PRODUCTOS!$E$5:$E$44,MATCH($C388,PRODUCTOS!$B$5:$B$44,0))),"")</f>
        <v/>
      </c>
      <c r="F388" s="17">
        <f>IFERROR(IF($C388="","",$D388*$E388),"")</f>
        <v/>
      </c>
      <c r="G388" s="17">
        <f>IFERROR(IF($C388="","",$F388-$H388),"")</f>
        <v/>
      </c>
      <c r="H388" s="17">
        <f>IFERROR(IF($C388="","",$F388/(1+INICIO!$C$5)),"")</f>
        <v/>
      </c>
      <c r="I388" s="17">
        <f>IFERROR(IF($C388="","",$D388*INDEX(PRODUCTOS!$D$5:$D$44,MATCH($C388,PRODUCTOS!$B$5:$B$44,0))),"")</f>
        <v/>
      </c>
      <c r="J388" s="30">
        <f>IFERROR(IF($C388="","",$H388-$I388),"")</f>
        <v/>
      </c>
      <c r="K388" s="28" t="n"/>
      <c r="L388" s="28" t="n"/>
    </row>
    <row r="389">
      <c r="A389" s="26" t="n"/>
      <c r="B389" s="27">
        <f>IF($A389="","",TEXT($A389,"YYYY-MM"))</f>
        <v/>
      </c>
      <c r="C389" s="28" t="n"/>
      <c r="D389" s="29" t="n"/>
      <c r="E389" s="17">
        <f>IFERROR(IF($C389="","",INDEX(PRODUCTOS!$E$5:$E$44,MATCH($C389,PRODUCTOS!$B$5:$B$44,0))),"")</f>
        <v/>
      </c>
      <c r="F389" s="17">
        <f>IFERROR(IF($C389="","",$D389*$E389),"")</f>
        <v/>
      </c>
      <c r="G389" s="17">
        <f>IFERROR(IF($C389="","",$F389-$H389),"")</f>
        <v/>
      </c>
      <c r="H389" s="17">
        <f>IFERROR(IF($C389="","",$F389/(1+INICIO!$C$5)),"")</f>
        <v/>
      </c>
      <c r="I389" s="17">
        <f>IFERROR(IF($C389="","",$D389*INDEX(PRODUCTOS!$D$5:$D$44,MATCH($C389,PRODUCTOS!$B$5:$B$44,0))),"")</f>
        <v/>
      </c>
      <c r="J389" s="30">
        <f>IFERROR(IF($C389="","",$H389-$I389),"")</f>
        <v/>
      </c>
      <c r="K389" s="28" t="n"/>
      <c r="L389" s="28" t="n"/>
    </row>
    <row r="390">
      <c r="A390" s="26" t="n"/>
      <c r="B390" s="27">
        <f>IF($A390="","",TEXT($A390,"YYYY-MM"))</f>
        <v/>
      </c>
      <c r="C390" s="28" t="n"/>
      <c r="D390" s="29" t="n"/>
      <c r="E390" s="17">
        <f>IFERROR(IF($C390="","",INDEX(PRODUCTOS!$E$5:$E$44,MATCH($C390,PRODUCTOS!$B$5:$B$44,0))),"")</f>
        <v/>
      </c>
      <c r="F390" s="17">
        <f>IFERROR(IF($C390="","",$D390*$E390),"")</f>
        <v/>
      </c>
      <c r="G390" s="17">
        <f>IFERROR(IF($C390="","",$F390-$H390),"")</f>
        <v/>
      </c>
      <c r="H390" s="17">
        <f>IFERROR(IF($C390="","",$F390/(1+INICIO!$C$5)),"")</f>
        <v/>
      </c>
      <c r="I390" s="17">
        <f>IFERROR(IF($C390="","",$D390*INDEX(PRODUCTOS!$D$5:$D$44,MATCH($C390,PRODUCTOS!$B$5:$B$44,0))),"")</f>
        <v/>
      </c>
      <c r="J390" s="30">
        <f>IFERROR(IF($C390="","",$H390-$I390),"")</f>
        <v/>
      </c>
      <c r="K390" s="28" t="n"/>
      <c r="L390" s="28" t="n"/>
    </row>
    <row r="391">
      <c r="A391" s="26" t="n"/>
      <c r="B391" s="27">
        <f>IF($A391="","",TEXT($A391,"YYYY-MM"))</f>
        <v/>
      </c>
      <c r="C391" s="28" t="n"/>
      <c r="D391" s="29" t="n"/>
      <c r="E391" s="17">
        <f>IFERROR(IF($C391="","",INDEX(PRODUCTOS!$E$5:$E$44,MATCH($C391,PRODUCTOS!$B$5:$B$44,0))),"")</f>
        <v/>
      </c>
      <c r="F391" s="17">
        <f>IFERROR(IF($C391="","",$D391*$E391),"")</f>
        <v/>
      </c>
      <c r="G391" s="17">
        <f>IFERROR(IF($C391="","",$F391-$H391),"")</f>
        <v/>
      </c>
      <c r="H391" s="17">
        <f>IFERROR(IF($C391="","",$F391/(1+INICIO!$C$5)),"")</f>
        <v/>
      </c>
      <c r="I391" s="17">
        <f>IFERROR(IF($C391="","",$D391*INDEX(PRODUCTOS!$D$5:$D$44,MATCH($C391,PRODUCTOS!$B$5:$B$44,0))),"")</f>
        <v/>
      </c>
      <c r="J391" s="30">
        <f>IFERROR(IF($C391="","",$H391-$I391),"")</f>
        <v/>
      </c>
      <c r="K391" s="28" t="n"/>
      <c r="L391" s="28" t="n"/>
    </row>
    <row r="392">
      <c r="A392" s="26" t="n"/>
      <c r="B392" s="27">
        <f>IF($A392="","",TEXT($A392,"YYYY-MM"))</f>
        <v/>
      </c>
      <c r="C392" s="28" t="n"/>
      <c r="D392" s="29" t="n"/>
      <c r="E392" s="17">
        <f>IFERROR(IF($C392="","",INDEX(PRODUCTOS!$E$5:$E$44,MATCH($C392,PRODUCTOS!$B$5:$B$44,0))),"")</f>
        <v/>
      </c>
      <c r="F392" s="17">
        <f>IFERROR(IF($C392="","",$D392*$E392),"")</f>
        <v/>
      </c>
      <c r="G392" s="17">
        <f>IFERROR(IF($C392="","",$F392-$H392),"")</f>
        <v/>
      </c>
      <c r="H392" s="17">
        <f>IFERROR(IF($C392="","",$F392/(1+INICIO!$C$5)),"")</f>
        <v/>
      </c>
      <c r="I392" s="17">
        <f>IFERROR(IF($C392="","",$D392*INDEX(PRODUCTOS!$D$5:$D$44,MATCH($C392,PRODUCTOS!$B$5:$B$44,0))),"")</f>
        <v/>
      </c>
      <c r="J392" s="30">
        <f>IFERROR(IF($C392="","",$H392-$I392),"")</f>
        <v/>
      </c>
      <c r="K392" s="28" t="n"/>
      <c r="L392" s="28" t="n"/>
    </row>
    <row r="393">
      <c r="A393" s="26" t="n"/>
      <c r="B393" s="27">
        <f>IF($A393="","",TEXT($A393,"YYYY-MM"))</f>
        <v/>
      </c>
      <c r="C393" s="28" t="n"/>
      <c r="D393" s="29" t="n"/>
      <c r="E393" s="17">
        <f>IFERROR(IF($C393="","",INDEX(PRODUCTOS!$E$5:$E$44,MATCH($C393,PRODUCTOS!$B$5:$B$44,0))),"")</f>
        <v/>
      </c>
      <c r="F393" s="17">
        <f>IFERROR(IF($C393="","",$D393*$E393),"")</f>
        <v/>
      </c>
      <c r="G393" s="17">
        <f>IFERROR(IF($C393="","",$F393-$H393),"")</f>
        <v/>
      </c>
      <c r="H393" s="17">
        <f>IFERROR(IF($C393="","",$F393/(1+INICIO!$C$5)),"")</f>
        <v/>
      </c>
      <c r="I393" s="17">
        <f>IFERROR(IF($C393="","",$D393*INDEX(PRODUCTOS!$D$5:$D$44,MATCH($C393,PRODUCTOS!$B$5:$B$44,0))),"")</f>
        <v/>
      </c>
      <c r="J393" s="30">
        <f>IFERROR(IF($C393="","",$H393-$I393),"")</f>
        <v/>
      </c>
      <c r="K393" s="28" t="n"/>
      <c r="L393" s="28" t="n"/>
    </row>
    <row r="394">
      <c r="A394" s="26" t="n"/>
      <c r="B394" s="27">
        <f>IF($A394="","",TEXT($A394,"YYYY-MM"))</f>
        <v/>
      </c>
      <c r="C394" s="28" t="n"/>
      <c r="D394" s="29" t="n"/>
      <c r="E394" s="17">
        <f>IFERROR(IF($C394="","",INDEX(PRODUCTOS!$E$5:$E$44,MATCH($C394,PRODUCTOS!$B$5:$B$44,0))),"")</f>
        <v/>
      </c>
      <c r="F394" s="17">
        <f>IFERROR(IF($C394="","",$D394*$E394),"")</f>
        <v/>
      </c>
      <c r="G394" s="17">
        <f>IFERROR(IF($C394="","",$F394-$H394),"")</f>
        <v/>
      </c>
      <c r="H394" s="17">
        <f>IFERROR(IF($C394="","",$F394/(1+INICIO!$C$5)),"")</f>
        <v/>
      </c>
      <c r="I394" s="17">
        <f>IFERROR(IF($C394="","",$D394*INDEX(PRODUCTOS!$D$5:$D$44,MATCH($C394,PRODUCTOS!$B$5:$B$44,0))),"")</f>
        <v/>
      </c>
      <c r="J394" s="30">
        <f>IFERROR(IF($C394="","",$H394-$I394),"")</f>
        <v/>
      </c>
      <c r="K394" s="28" t="n"/>
      <c r="L394" s="28" t="n"/>
    </row>
    <row r="395">
      <c r="A395" s="26" t="n"/>
      <c r="B395" s="27">
        <f>IF($A395="","",TEXT($A395,"YYYY-MM"))</f>
        <v/>
      </c>
      <c r="C395" s="28" t="n"/>
      <c r="D395" s="29" t="n"/>
      <c r="E395" s="17">
        <f>IFERROR(IF($C395="","",INDEX(PRODUCTOS!$E$5:$E$44,MATCH($C395,PRODUCTOS!$B$5:$B$44,0))),"")</f>
        <v/>
      </c>
      <c r="F395" s="17">
        <f>IFERROR(IF($C395="","",$D395*$E395),"")</f>
        <v/>
      </c>
      <c r="G395" s="17">
        <f>IFERROR(IF($C395="","",$F395-$H395),"")</f>
        <v/>
      </c>
      <c r="H395" s="17">
        <f>IFERROR(IF($C395="","",$F395/(1+INICIO!$C$5)),"")</f>
        <v/>
      </c>
      <c r="I395" s="17">
        <f>IFERROR(IF($C395="","",$D395*INDEX(PRODUCTOS!$D$5:$D$44,MATCH($C395,PRODUCTOS!$B$5:$B$44,0))),"")</f>
        <v/>
      </c>
      <c r="J395" s="30">
        <f>IFERROR(IF($C395="","",$H395-$I395),"")</f>
        <v/>
      </c>
      <c r="K395" s="28" t="n"/>
      <c r="L395" s="28" t="n"/>
    </row>
    <row r="396">
      <c r="A396" s="26" t="n"/>
      <c r="B396" s="27">
        <f>IF($A396="","",TEXT($A396,"YYYY-MM"))</f>
        <v/>
      </c>
      <c r="C396" s="28" t="n"/>
      <c r="D396" s="29" t="n"/>
      <c r="E396" s="17">
        <f>IFERROR(IF($C396="","",INDEX(PRODUCTOS!$E$5:$E$44,MATCH($C396,PRODUCTOS!$B$5:$B$44,0))),"")</f>
        <v/>
      </c>
      <c r="F396" s="17">
        <f>IFERROR(IF($C396="","",$D396*$E396),"")</f>
        <v/>
      </c>
      <c r="G396" s="17">
        <f>IFERROR(IF($C396="","",$F396-$H396),"")</f>
        <v/>
      </c>
      <c r="H396" s="17">
        <f>IFERROR(IF($C396="","",$F396/(1+INICIO!$C$5)),"")</f>
        <v/>
      </c>
      <c r="I396" s="17">
        <f>IFERROR(IF($C396="","",$D396*INDEX(PRODUCTOS!$D$5:$D$44,MATCH($C396,PRODUCTOS!$B$5:$B$44,0))),"")</f>
        <v/>
      </c>
      <c r="J396" s="30">
        <f>IFERROR(IF($C396="","",$H396-$I396),"")</f>
        <v/>
      </c>
      <c r="K396" s="28" t="n"/>
      <c r="L396" s="28" t="n"/>
    </row>
    <row r="397">
      <c r="A397" s="26" t="n"/>
      <c r="B397" s="27">
        <f>IF($A397="","",TEXT($A397,"YYYY-MM"))</f>
        <v/>
      </c>
      <c r="C397" s="28" t="n"/>
      <c r="D397" s="29" t="n"/>
      <c r="E397" s="17">
        <f>IFERROR(IF($C397="","",INDEX(PRODUCTOS!$E$5:$E$44,MATCH($C397,PRODUCTOS!$B$5:$B$44,0))),"")</f>
        <v/>
      </c>
      <c r="F397" s="17">
        <f>IFERROR(IF($C397="","",$D397*$E397),"")</f>
        <v/>
      </c>
      <c r="G397" s="17">
        <f>IFERROR(IF($C397="","",$F397-$H397),"")</f>
        <v/>
      </c>
      <c r="H397" s="17">
        <f>IFERROR(IF($C397="","",$F397/(1+INICIO!$C$5)),"")</f>
        <v/>
      </c>
      <c r="I397" s="17">
        <f>IFERROR(IF($C397="","",$D397*INDEX(PRODUCTOS!$D$5:$D$44,MATCH($C397,PRODUCTOS!$B$5:$B$44,0))),"")</f>
        <v/>
      </c>
      <c r="J397" s="30">
        <f>IFERROR(IF($C397="","",$H397-$I397),"")</f>
        <v/>
      </c>
      <c r="K397" s="28" t="n"/>
      <c r="L397" s="28" t="n"/>
    </row>
    <row r="398">
      <c r="A398" s="26" t="n"/>
      <c r="B398" s="27">
        <f>IF($A398="","",TEXT($A398,"YYYY-MM"))</f>
        <v/>
      </c>
      <c r="C398" s="28" t="n"/>
      <c r="D398" s="29" t="n"/>
      <c r="E398" s="17">
        <f>IFERROR(IF($C398="","",INDEX(PRODUCTOS!$E$5:$E$44,MATCH($C398,PRODUCTOS!$B$5:$B$44,0))),"")</f>
        <v/>
      </c>
      <c r="F398" s="17">
        <f>IFERROR(IF($C398="","",$D398*$E398),"")</f>
        <v/>
      </c>
      <c r="G398" s="17">
        <f>IFERROR(IF($C398="","",$F398-$H398),"")</f>
        <v/>
      </c>
      <c r="H398" s="17">
        <f>IFERROR(IF($C398="","",$F398/(1+INICIO!$C$5)),"")</f>
        <v/>
      </c>
      <c r="I398" s="17">
        <f>IFERROR(IF($C398="","",$D398*INDEX(PRODUCTOS!$D$5:$D$44,MATCH($C398,PRODUCTOS!$B$5:$B$44,0))),"")</f>
        <v/>
      </c>
      <c r="J398" s="30">
        <f>IFERROR(IF($C398="","",$H398-$I398),"")</f>
        <v/>
      </c>
      <c r="K398" s="28" t="n"/>
      <c r="L398" s="28" t="n"/>
    </row>
    <row r="399">
      <c r="A399" s="26" t="n"/>
      <c r="B399" s="27">
        <f>IF($A399="","",TEXT($A399,"YYYY-MM"))</f>
        <v/>
      </c>
      <c r="C399" s="28" t="n"/>
      <c r="D399" s="29" t="n"/>
      <c r="E399" s="17">
        <f>IFERROR(IF($C399="","",INDEX(PRODUCTOS!$E$5:$E$44,MATCH($C399,PRODUCTOS!$B$5:$B$44,0))),"")</f>
        <v/>
      </c>
      <c r="F399" s="17">
        <f>IFERROR(IF($C399="","",$D399*$E399),"")</f>
        <v/>
      </c>
      <c r="G399" s="17">
        <f>IFERROR(IF($C399="","",$F399-$H399),"")</f>
        <v/>
      </c>
      <c r="H399" s="17">
        <f>IFERROR(IF($C399="","",$F399/(1+INICIO!$C$5)),"")</f>
        <v/>
      </c>
      <c r="I399" s="17">
        <f>IFERROR(IF($C399="","",$D399*INDEX(PRODUCTOS!$D$5:$D$44,MATCH($C399,PRODUCTOS!$B$5:$B$44,0))),"")</f>
        <v/>
      </c>
      <c r="J399" s="30">
        <f>IFERROR(IF($C399="","",$H399-$I399),"")</f>
        <v/>
      </c>
      <c r="K399" s="28" t="n"/>
      <c r="L399" s="28" t="n"/>
    </row>
    <row r="400">
      <c r="A400" s="26" t="n"/>
      <c r="B400" s="27">
        <f>IF($A400="","",TEXT($A400,"YYYY-MM"))</f>
        <v/>
      </c>
      <c r="C400" s="28" t="n"/>
      <c r="D400" s="29" t="n"/>
      <c r="E400" s="17">
        <f>IFERROR(IF($C400="","",INDEX(PRODUCTOS!$E$5:$E$44,MATCH($C400,PRODUCTOS!$B$5:$B$44,0))),"")</f>
        <v/>
      </c>
      <c r="F400" s="17">
        <f>IFERROR(IF($C400="","",$D400*$E400),"")</f>
        <v/>
      </c>
      <c r="G400" s="17">
        <f>IFERROR(IF($C400="","",$F400-$H400),"")</f>
        <v/>
      </c>
      <c r="H400" s="17">
        <f>IFERROR(IF($C400="","",$F400/(1+INICIO!$C$5)),"")</f>
        <v/>
      </c>
      <c r="I400" s="17">
        <f>IFERROR(IF($C400="","",$D400*INDEX(PRODUCTOS!$D$5:$D$44,MATCH($C400,PRODUCTOS!$B$5:$B$44,0))),"")</f>
        <v/>
      </c>
      <c r="J400" s="30">
        <f>IFERROR(IF($C400="","",$H400-$I400),"")</f>
        <v/>
      </c>
      <c r="K400" s="28" t="n"/>
      <c r="L400" s="28" t="n"/>
    </row>
    <row r="401">
      <c r="A401" s="26" t="n"/>
      <c r="B401" s="27">
        <f>IF($A401="","",TEXT($A401,"YYYY-MM"))</f>
        <v/>
      </c>
      <c r="C401" s="28" t="n"/>
      <c r="D401" s="29" t="n"/>
      <c r="E401" s="17">
        <f>IFERROR(IF($C401="","",INDEX(PRODUCTOS!$E$5:$E$44,MATCH($C401,PRODUCTOS!$B$5:$B$44,0))),"")</f>
        <v/>
      </c>
      <c r="F401" s="17">
        <f>IFERROR(IF($C401="","",$D401*$E401),"")</f>
        <v/>
      </c>
      <c r="G401" s="17">
        <f>IFERROR(IF($C401="","",$F401-$H401),"")</f>
        <v/>
      </c>
      <c r="H401" s="17">
        <f>IFERROR(IF($C401="","",$F401/(1+INICIO!$C$5)),"")</f>
        <v/>
      </c>
      <c r="I401" s="17">
        <f>IFERROR(IF($C401="","",$D401*INDEX(PRODUCTOS!$D$5:$D$44,MATCH($C401,PRODUCTOS!$B$5:$B$44,0))),"")</f>
        <v/>
      </c>
      <c r="J401" s="30">
        <f>IFERROR(IF($C401="","",$H401-$I401),"")</f>
        <v/>
      </c>
      <c r="K401" s="28" t="n"/>
      <c r="L401" s="28" t="n"/>
    </row>
    <row r="402">
      <c r="A402" s="26" t="n"/>
      <c r="B402" s="27">
        <f>IF($A402="","",TEXT($A402,"YYYY-MM"))</f>
        <v/>
      </c>
      <c r="C402" s="28" t="n"/>
      <c r="D402" s="29" t="n"/>
      <c r="E402" s="17">
        <f>IFERROR(IF($C402="","",INDEX(PRODUCTOS!$E$5:$E$44,MATCH($C402,PRODUCTOS!$B$5:$B$44,0))),"")</f>
        <v/>
      </c>
      <c r="F402" s="17">
        <f>IFERROR(IF($C402="","",$D402*$E402),"")</f>
        <v/>
      </c>
      <c r="G402" s="17">
        <f>IFERROR(IF($C402="","",$F402-$H402),"")</f>
        <v/>
      </c>
      <c r="H402" s="17">
        <f>IFERROR(IF($C402="","",$F402/(1+INICIO!$C$5)),"")</f>
        <v/>
      </c>
      <c r="I402" s="17">
        <f>IFERROR(IF($C402="","",$D402*INDEX(PRODUCTOS!$D$5:$D$44,MATCH($C402,PRODUCTOS!$B$5:$B$44,0))),"")</f>
        <v/>
      </c>
      <c r="J402" s="30">
        <f>IFERROR(IF($C402="","",$H402-$I402),"")</f>
        <v/>
      </c>
      <c r="K402" s="28" t="n"/>
      <c r="L402" s="28" t="n"/>
    </row>
    <row r="403">
      <c r="A403" s="26" t="n"/>
      <c r="B403" s="27">
        <f>IF($A403="","",TEXT($A403,"YYYY-MM"))</f>
        <v/>
      </c>
      <c r="C403" s="28" t="n"/>
      <c r="D403" s="29" t="n"/>
      <c r="E403" s="17">
        <f>IFERROR(IF($C403="","",INDEX(PRODUCTOS!$E$5:$E$44,MATCH($C403,PRODUCTOS!$B$5:$B$44,0))),"")</f>
        <v/>
      </c>
      <c r="F403" s="17">
        <f>IFERROR(IF($C403="","",$D403*$E403),"")</f>
        <v/>
      </c>
      <c r="G403" s="17">
        <f>IFERROR(IF($C403="","",$F403-$H403),"")</f>
        <v/>
      </c>
      <c r="H403" s="17">
        <f>IFERROR(IF($C403="","",$F403/(1+INICIO!$C$5)),"")</f>
        <v/>
      </c>
      <c r="I403" s="17">
        <f>IFERROR(IF($C403="","",$D403*INDEX(PRODUCTOS!$D$5:$D$44,MATCH($C403,PRODUCTOS!$B$5:$B$44,0))),"")</f>
        <v/>
      </c>
      <c r="J403" s="30">
        <f>IFERROR(IF($C403="","",$H403-$I403),"")</f>
        <v/>
      </c>
      <c r="K403" s="28" t="n"/>
      <c r="L403" s="28" t="n"/>
    </row>
    <row r="404">
      <c r="A404" s="26" t="n"/>
      <c r="B404" s="27">
        <f>IF($A404="","",TEXT($A404,"YYYY-MM"))</f>
        <v/>
      </c>
      <c r="C404" s="28" t="n"/>
      <c r="D404" s="29" t="n"/>
      <c r="E404" s="17">
        <f>IFERROR(IF($C404="","",INDEX(PRODUCTOS!$E$5:$E$44,MATCH($C404,PRODUCTOS!$B$5:$B$44,0))),"")</f>
        <v/>
      </c>
      <c r="F404" s="17">
        <f>IFERROR(IF($C404="","",$D404*$E404),"")</f>
        <v/>
      </c>
      <c r="G404" s="17">
        <f>IFERROR(IF($C404="","",$F404-$H404),"")</f>
        <v/>
      </c>
      <c r="H404" s="17">
        <f>IFERROR(IF($C404="","",$F404/(1+INICIO!$C$5)),"")</f>
        <v/>
      </c>
      <c r="I404" s="17">
        <f>IFERROR(IF($C404="","",$D404*INDEX(PRODUCTOS!$D$5:$D$44,MATCH($C404,PRODUCTOS!$B$5:$B$44,0))),"")</f>
        <v/>
      </c>
      <c r="J404" s="30">
        <f>IFERROR(IF($C404="","",$H404-$I404),"")</f>
        <v/>
      </c>
      <c r="K404" s="28" t="n"/>
      <c r="L404" s="28" t="n"/>
    </row>
    <row r="405">
      <c r="A405" s="26" t="n"/>
      <c r="B405" s="27">
        <f>IF($A405="","",TEXT($A405,"YYYY-MM"))</f>
        <v/>
      </c>
      <c r="C405" s="28" t="n"/>
      <c r="D405" s="29" t="n"/>
      <c r="E405" s="17">
        <f>IFERROR(IF($C405="","",INDEX(PRODUCTOS!$E$5:$E$44,MATCH($C405,PRODUCTOS!$B$5:$B$44,0))),"")</f>
        <v/>
      </c>
      <c r="F405" s="17">
        <f>IFERROR(IF($C405="","",$D405*$E405),"")</f>
        <v/>
      </c>
      <c r="G405" s="17">
        <f>IFERROR(IF($C405="","",$F405-$H405),"")</f>
        <v/>
      </c>
      <c r="H405" s="17">
        <f>IFERROR(IF($C405="","",$F405/(1+INICIO!$C$5)),"")</f>
        <v/>
      </c>
      <c r="I405" s="17">
        <f>IFERROR(IF($C405="","",$D405*INDEX(PRODUCTOS!$D$5:$D$44,MATCH($C405,PRODUCTOS!$B$5:$B$44,0))),"")</f>
        <v/>
      </c>
      <c r="J405" s="30">
        <f>IFERROR(IF($C405="","",$H405-$I405),"")</f>
        <v/>
      </c>
      <c r="K405" s="28" t="n"/>
      <c r="L405" s="28" t="n"/>
    </row>
    <row r="406">
      <c r="A406" s="26" t="n"/>
      <c r="B406" s="27">
        <f>IF($A406="","",TEXT($A406,"YYYY-MM"))</f>
        <v/>
      </c>
      <c r="C406" s="28" t="n"/>
      <c r="D406" s="29" t="n"/>
      <c r="E406" s="17">
        <f>IFERROR(IF($C406="","",INDEX(PRODUCTOS!$E$5:$E$44,MATCH($C406,PRODUCTOS!$B$5:$B$44,0))),"")</f>
        <v/>
      </c>
      <c r="F406" s="17">
        <f>IFERROR(IF($C406="","",$D406*$E406),"")</f>
        <v/>
      </c>
      <c r="G406" s="17">
        <f>IFERROR(IF($C406="","",$F406-$H406),"")</f>
        <v/>
      </c>
      <c r="H406" s="17">
        <f>IFERROR(IF($C406="","",$F406/(1+INICIO!$C$5)),"")</f>
        <v/>
      </c>
      <c r="I406" s="17">
        <f>IFERROR(IF($C406="","",$D406*INDEX(PRODUCTOS!$D$5:$D$44,MATCH($C406,PRODUCTOS!$B$5:$B$44,0))),"")</f>
        <v/>
      </c>
      <c r="J406" s="30">
        <f>IFERROR(IF($C406="","",$H406-$I406),"")</f>
        <v/>
      </c>
      <c r="K406" s="28" t="n"/>
      <c r="L406" s="28" t="n"/>
    </row>
    <row r="407">
      <c r="A407" s="26" t="n"/>
      <c r="B407" s="27">
        <f>IF($A407="","",TEXT($A407,"YYYY-MM"))</f>
        <v/>
      </c>
      <c r="C407" s="28" t="n"/>
      <c r="D407" s="29" t="n"/>
      <c r="E407" s="17">
        <f>IFERROR(IF($C407="","",INDEX(PRODUCTOS!$E$5:$E$44,MATCH($C407,PRODUCTOS!$B$5:$B$44,0))),"")</f>
        <v/>
      </c>
      <c r="F407" s="17">
        <f>IFERROR(IF($C407="","",$D407*$E407),"")</f>
        <v/>
      </c>
      <c r="G407" s="17">
        <f>IFERROR(IF($C407="","",$F407-$H407),"")</f>
        <v/>
      </c>
      <c r="H407" s="17">
        <f>IFERROR(IF($C407="","",$F407/(1+INICIO!$C$5)),"")</f>
        <v/>
      </c>
      <c r="I407" s="17">
        <f>IFERROR(IF($C407="","",$D407*INDEX(PRODUCTOS!$D$5:$D$44,MATCH($C407,PRODUCTOS!$B$5:$B$44,0))),"")</f>
        <v/>
      </c>
      <c r="J407" s="30">
        <f>IFERROR(IF($C407="","",$H407-$I407),"")</f>
        <v/>
      </c>
      <c r="K407" s="28" t="n"/>
      <c r="L407" s="28" t="n"/>
    </row>
    <row r="408">
      <c r="A408" s="26" t="n"/>
      <c r="B408" s="27">
        <f>IF($A408="","",TEXT($A408,"YYYY-MM"))</f>
        <v/>
      </c>
      <c r="C408" s="28" t="n"/>
      <c r="D408" s="29" t="n"/>
      <c r="E408" s="17">
        <f>IFERROR(IF($C408="","",INDEX(PRODUCTOS!$E$5:$E$44,MATCH($C408,PRODUCTOS!$B$5:$B$44,0))),"")</f>
        <v/>
      </c>
      <c r="F408" s="17">
        <f>IFERROR(IF($C408="","",$D408*$E408),"")</f>
        <v/>
      </c>
      <c r="G408" s="17">
        <f>IFERROR(IF($C408="","",$F408-$H408),"")</f>
        <v/>
      </c>
      <c r="H408" s="17">
        <f>IFERROR(IF($C408="","",$F408/(1+INICIO!$C$5)),"")</f>
        <v/>
      </c>
      <c r="I408" s="17">
        <f>IFERROR(IF($C408="","",$D408*INDEX(PRODUCTOS!$D$5:$D$44,MATCH($C408,PRODUCTOS!$B$5:$B$44,0))),"")</f>
        <v/>
      </c>
      <c r="J408" s="30">
        <f>IFERROR(IF($C408="","",$H408-$I408),"")</f>
        <v/>
      </c>
      <c r="K408" s="28" t="n"/>
      <c r="L408" s="28" t="n"/>
    </row>
    <row r="409">
      <c r="A409" s="26" t="n"/>
      <c r="B409" s="27">
        <f>IF($A409="","",TEXT($A409,"YYYY-MM"))</f>
        <v/>
      </c>
      <c r="C409" s="28" t="n"/>
      <c r="D409" s="29" t="n"/>
      <c r="E409" s="17">
        <f>IFERROR(IF($C409="","",INDEX(PRODUCTOS!$E$5:$E$44,MATCH($C409,PRODUCTOS!$B$5:$B$44,0))),"")</f>
        <v/>
      </c>
      <c r="F409" s="17">
        <f>IFERROR(IF($C409="","",$D409*$E409),"")</f>
        <v/>
      </c>
      <c r="G409" s="17">
        <f>IFERROR(IF($C409="","",$F409-$H409),"")</f>
        <v/>
      </c>
      <c r="H409" s="17">
        <f>IFERROR(IF($C409="","",$F409/(1+INICIO!$C$5)),"")</f>
        <v/>
      </c>
      <c r="I409" s="17">
        <f>IFERROR(IF($C409="","",$D409*INDEX(PRODUCTOS!$D$5:$D$44,MATCH($C409,PRODUCTOS!$B$5:$B$44,0))),"")</f>
        <v/>
      </c>
      <c r="J409" s="30">
        <f>IFERROR(IF($C409="","",$H409-$I409),"")</f>
        <v/>
      </c>
      <c r="K409" s="28" t="n"/>
      <c r="L409" s="28" t="n"/>
    </row>
    <row r="410">
      <c r="A410" s="26" t="n"/>
      <c r="B410" s="27">
        <f>IF($A410="","",TEXT($A410,"YYYY-MM"))</f>
        <v/>
      </c>
      <c r="C410" s="28" t="n"/>
      <c r="D410" s="29" t="n"/>
      <c r="E410" s="17">
        <f>IFERROR(IF($C410="","",INDEX(PRODUCTOS!$E$5:$E$44,MATCH($C410,PRODUCTOS!$B$5:$B$44,0))),"")</f>
        <v/>
      </c>
      <c r="F410" s="17">
        <f>IFERROR(IF($C410="","",$D410*$E410),"")</f>
        <v/>
      </c>
      <c r="G410" s="17">
        <f>IFERROR(IF($C410="","",$F410-$H410),"")</f>
        <v/>
      </c>
      <c r="H410" s="17">
        <f>IFERROR(IF($C410="","",$F410/(1+INICIO!$C$5)),"")</f>
        <v/>
      </c>
      <c r="I410" s="17">
        <f>IFERROR(IF($C410="","",$D410*INDEX(PRODUCTOS!$D$5:$D$44,MATCH($C410,PRODUCTOS!$B$5:$B$44,0))),"")</f>
        <v/>
      </c>
      <c r="J410" s="30">
        <f>IFERROR(IF($C410="","",$H410-$I410),"")</f>
        <v/>
      </c>
      <c r="K410" s="28" t="n"/>
      <c r="L410" s="28" t="n"/>
    </row>
    <row r="411">
      <c r="A411" s="26" t="n"/>
      <c r="B411" s="27">
        <f>IF($A411="","",TEXT($A411,"YYYY-MM"))</f>
        <v/>
      </c>
      <c r="C411" s="28" t="n"/>
      <c r="D411" s="29" t="n"/>
      <c r="E411" s="17">
        <f>IFERROR(IF($C411="","",INDEX(PRODUCTOS!$E$5:$E$44,MATCH($C411,PRODUCTOS!$B$5:$B$44,0))),"")</f>
        <v/>
      </c>
      <c r="F411" s="17">
        <f>IFERROR(IF($C411="","",$D411*$E411),"")</f>
        <v/>
      </c>
      <c r="G411" s="17">
        <f>IFERROR(IF($C411="","",$F411-$H411),"")</f>
        <v/>
      </c>
      <c r="H411" s="17">
        <f>IFERROR(IF($C411="","",$F411/(1+INICIO!$C$5)),"")</f>
        <v/>
      </c>
      <c r="I411" s="17">
        <f>IFERROR(IF($C411="","",$D411*INDEX(PRODUCTOS!$D$5:$D$44,MATCH($C411,PRODUCTOS!$B$5:$B$44,0))),"")</f>
        <v/>
      </c>
      <c r="J411" s="30">
        <f>IFERROR(IF($C411="","",$H411-$I411),"")</f>
        <v/>
      </c>
      <c r="K411" s="28" t="n"/>
      <c r="L411" s="28" t="n"/>
    </row>
    <row r="412">
      <c r="A412" s="26" t="n"/>
      <c r="B412" s="27">
        <f>IF($A412="","",TEXT($A412,"YYYY-MM"))</f>
        <v/>
      </c>
      <c r="C412" s="28" t="n"/>
      <c r="D412" s="29" t="n"/>
      <c r="E412" s="17">
        <f>IFERROR(IF($C412="","",INDEX(PRODUCTOS!$E$5:$E$44,MATCH($C412,PRODUCTOS!$B$5:$B$44,0))),"")</f>
        <v/>
      </c>
      <c r="F412" s="17">
        <f>IFERROR(IF($C412="","",$D412*$E412),"")</f>
        <v/>
      </c>
      <c r="G412" s="17">
        <f>IFERROR(IF($C412="","",$F412-$H412),"")</f>
        <v/>
      </c>
      <c r="H412" s="17">
        <f>IFERROR(IF($C412="","",$F412/(1+INICIO!$C$5)),"")</f>
        <v/>
      </c>
      <c r="I412" s="17">
        <f>IFERROR(IF($C412="","",$D412*INDEX(PRODUCTOS!$D$5:$D$44,MATCH($C412,PRODUCTOS!$B$5:$B$44,0))),"")</f>
        <v/>
      </c>
      <c r="J412" s="30">
        <f>IFERROR(IF($C412="","",$H412-$I412),"")</f>
        <v/>
      </c>
      <c r="K412" s="28" t="n"/>
      <c r="L412" s="28" t="n"/>
    </row>
    <row r="413">
      <c r="A413" s="26" t="n"/>
      <c r="B413" s="27">
        <f>IF($A413="","",TEXT($A413,"YYYY-MM"))</f>
        <v/>
      </c>
      <c r="C413" s="28" t="n"/>
      <c r="D413" s="29" t="n"/>
      <c r="E413" s="17">
        <f>IFERROR(IF($C413="","",INDEX(PRODUCTOS!$E$5:$E$44,MATCH($C413,PRODUCTOS!$B$5:$B$44,0))),"")</f>
        <v/>
      </c>
      <c r="F413" s="17">
        <f>IFERROR(IF($C413="","",$D413*$E413),"")</f>
        <v/>
      </c>
      <c r="G413" s="17">
        <f>IFERROR(IF($C413="","",$F413-$H413),"")</f>
        <v/>
      </c>
      <c r="H413" s="17">
        <f>IFERROR(IF($C413="","",$F413/(1+INICIO!$C$5)),"")</f>
        <v/>
      </c>
      <c r="I413" s="17">
        <f>IFERROR(IF($C413="","",$D413*INDEX(PRODUCTOS!$D$5:$D$44,MATCH($C413,PRODUCTOS!$B$5:$B$44,0))),"")</f>
        <v/>
      </c>
      <c r="J413" s="30">
        <f>IFERROR(IF($C413="","",$H413-$I413),"")</f>
        <v/>
      </c>
      <c r="K413" s="28" t="n"/>
      <c r="L413" s="28" t="n"/>
    </row>
    <row r="414">
      <c r="A414" s="26" t="n"/>
      <c r="B414" s="27">
        <f>IF($A414="","",TEXT($A414,"YYYY-MM"))</f>
        <v/>
      </c>
      <c r="C414" s="28" t="n"/>
      <c r="D414" s="29" t="n"/>
      <c r="E414" s="17">
        <f>IFERROR(IF($C414="","",INDEX(PRODUCTOS!$E$5:$E$44,MATCH($C414,PRODUCTOS!$B$5:$B$44,0))),"")</f>
        <v/>
      </c>
      <c r="F414" s="17">
        <f>IFERROR(IF($C414="","",$D414*$E414),"")</f>
        <v/>
      </c>
      <c r="G414" s="17">
        <f>IFERROR(IF($C414="","",$F414-$H414),"")</f>
        <v/>
      </c>
      <c r="H414" s="17">
        <f>IFERROR(IF($C414="","",$F414/(1+INICIO!$C$5)),"")</f>
        <v/>
      </c>
      <c r="I414" s="17">
        <f>IFERROR(IF($C414="","",$D414*INDEX(PRODUCTOS!$D$5:$D$44,MATCH($C414,PRODUCTOS!$B$5:$B$44,0))),"")</f>
        <v/>
      </c>
      <c r="J414" s="30">
        <f>IFERROR(IF($C414="","",$H414-$I414),"")</f>
        <v/>
      </c>
      <c r="K414" s="28" t="n"/>
      <c r="L414" s="28" t="n"/>
    </row>
    <row r="415">
      <c r="A415" s="26" t="n"/>
      <c r="B415" s="27">
        <f>IF($A415="","",TEXT($A415,"YYYY-MM"))</f>
        <v/>
      </c>
      <c r="C415" s="28" t="n"/>
      <c r="D415" s="29" t="n"/>
      <c r="E415" s="17">
        <f>IFERROR(IF($C415="","",INDEX(PRODUCTOS!$E$5:$E$44,MATCH($C415,PRODUCTOS!$B$5:$B$44,0))),"")</f>
        <v/>
      </c>
      <c r="F415" s="17">
        <f>IFERROR(IF($C415="","",$D415*$E415),"")</f>
        <v/>
      </c>
      <c r="G415" s="17">
        <f>IFERROR(IF($C415="","",$F415-$H415),"")</f>
        <v/>
      </c>
      <c r="H415" s="17">
        <f>IFERROR(IF($C415="","",$F415/(1+INICIO!$C$5)),"")</f>
        <v/>
      </c>
      <c r="I415" s="17">
        <f>IFERROR(IF($C415="","",$D415*INDEX(PRODUCTOS!$D$5:$D$44,MATCH($C415,PRODUCTOS!$B$5:$B$44,0))),"")</f>
        <v/>
      </c>
      <c r="J415" s="30">
        <f>IFERROR(IF($C415="","",$H415-$I415),"")</f>
        <v/>
      </c>
      <c r="K415" s="28" t="n"/>
      <c r="L415" s="28" t="n"/>
    </row>
    <row r="416">
      <c r="A416" s="26" t="n"/>
      <c r="B416" s="27">
        <f>IF($A416="","",TEXT($A416,"YYYY-MM"))</f>
        <v/>
      </c>
      <c r="C416" s="28" t="n"/>
      <c r="D416" s="29" t="n"/>
      <c r="E416" s="17">
        <f>IFERROR(IF($C416="","",INDEX(PRODUCTOS!$E$5:$E$44,MATCH($C416,PRODUCTOS!$B$5:$B$44,0))),"")</f>
        <v/>
      </c>
      <c r="F416" s="17">
        <f>IFERROR(IF($C416="","",$D416*$E416),"")</f>
        <v/>
      </c>
      <c r="G416" s="17">
        <f>IFERROR(IF($C416="","",$F416-$H416),"")</f>
        <v/>
      </c>
      <c r="H416" s="17">
        <f>IFERROR(IF($C416="","",$F416/(1+INICIO!$C$5)),"")</f>
        <v/>
      </c>
      <c r="I416" s="17">
        <f>IFERROR(IF($C416="","",$D416*INDEX(PRODUCTOS!$D$5:$D$44,MATCH($C416,PRODUCTOS!$B$5:$B$44,0))),"")</f>
        <v/>
      </c>
      <c r="J416" s="30">
        <f>IFERROR(IF($C416="","",$H416-$I416),"")</f>
        <v/>
      </c>
      <c r="K416" s="28" t="n"/>
      <c r="L416" s="28" t="n"/>
    </row>
    <row r="417">
      <c r="A417" s="26" t="n"/>
      <c r="B417" s="27">
        <f>IF($A417="","",TEXT($A417,"YYYY-MM"))</f>
        <v/>
      </c>
      <c r="C417" s="28" t="n"/>
      <c r="D417" s="29" t="n"/>
      <c r="E417" s="17">
        <f>IFERROR(IF($C417="","",INDEX(PRODUCTOS!$E$5:$E$44,MATCH($C417,PRODUCTOS!$B$5:$B$44,0))),"")</f>
        <v/>
      </c>
      <c r="F417" s="17">
        <f>IFERROR(IF($C417="","",$D417*$E417),"")</f>
        <v/>
      </c>
      <c r="G417" s="17">
        <f>IFERROR(IF($C417="","",$F417-$H417),"")</f>
        <v/>
      </c>
      <c r="H417" s="17">
        <f>IFERROR(IF($C417="","",$F417/(1+INICIO!$C$5)),"")</f>
        <v/>
      </c>
      <c r="I417" s="17">
        <f>IFERROR(IF($C417="","",$D417*INDEX(PRODUCTOS!$D$5:$D$44,MATCH($C417,PRODUCTOS!$B$5:$B$44,0))),"")</f>
        <v/>
      </c>
      <c r="J417" s="30">
        <f>IFERROR(IF($C417="","",$H417-$I417),"")</f>
        <v/>
      </c>
      <c r="K417" s="28" t="n"/>
      <c r="L417" s="28" t="n"/>
    </row>
    <row r="418">
      <c r="A418" s="26" t="n"/>
      <c r="B418" s="27">
        <f>IF($A418="","",TEXT($A418,"YYYY-MM"))</f>
        <v/>
      </c>
      <c r="C418" s="28" t="n"/>
      <c r="D418" s="29" t="n"/>
      <c r="E418" s="17">
        <f>IFERROR(IF($C418="","",INDEX(PRODUCTOS!$E$5:$E$44,MATCH($C418,PRODUCTOS!$B$5:$B$44,0))),"")</f>
        <v/>
      </c>
      <c r="F418" s="17">
        <f>IFERROR(IF($C418="","",$D418*$E418),"")</f>
        <v/>
      </c>
      <c r="G418" s="17">
        <f>IFERROR(IF($C418="","",$F418-$H418),"")</f>
        <v/>
      </c>
      <c r="H418" s="17">
        <f>IFERROR(IF($C418="","",$F418/(1+INICIO!$C$5)),"")</f>
        <v/>
      </c>
      <c r="I418" s="17">
        <f>IFERROR(IF($C418="","",$D418*INDEX(PRODUCTOS!$D$5:$D$44,MATCH($C418,PRODUCTOS!$B$5:$B$44,0))),"")</f>
        <v/>
      </c>
      <c r="J418" s="30">
        <f>IFERROR(IF($C418="","",$H418-$I418),"")</f>
        <v/>
      </c>
      <c r="K418" s="28" t="n"/>
      <c r="L418" s="28" t="n"/>
    </row>
    <row r="419">
      <c r="A419" s="26" t="n"/>
      <c r="B419" s="27">
        <f>IF($A419="","",TEXT($A419,"YYYY-MM"))</f>
        <v/>
      </c>
      <c r="C419" s="28" t="n"/>
      <c r="D419" s="29" t="n"/>
      <c r="E419" s="17">
        <f>IFERROR(IF($C419="","",INDEX(PRODUCTOS!$E$5:$E$44,MATCH($C419,PRODUCTOS!$B$5:$B$44,0))),"")</f>
        <v/>
      </c>
      <c r="F419" s="17">
        <f>IFERROR(IF($C419="","",$D419*$E419),"")</f>
        <v/>
      </c>
      <c r="G419" s="17">
        <f>IFERROR(IF($C419="","",$F419-$H419),"")</f>
        <v/>
      </c>
      <c r="H419" s="17">
        <f>IFERROR(IF($C419="","",$F419/(1+INICIO!$C$5)),"")</f>
        <v/>
      </c>
      <c r="I419" s="17">
        <f>IFERROR(IF($C419="","",$D419*INDEX(PRODUCTOS!$D$5:$D$44,MATCH($C419,PRODUCTOS!$B$5:$B$44,0))),"")</f>
        <v/>
      </c>
      <c r="J419" s="30">
        <f>IFERROR(IF($C419="","",$H419-$I419),"")</f>
        <v/>
      </c>
      <c r="K419" s="28" t="n"/>
      <c r="L419" s="28" t="n"/>
    </row>
    <row r="420">
      <c r="A420" s="26" t="n"/>
      <c r="B420" s="27">
        <f>IF($A420="","",TEXT($A420,"YYYY-MM"))</f>
        <v/>
      </c>
      <c r="C420" s="28" t="n"/>
      <c r="D420" s="29" t="n"/>
      <c r="E420" s="17">
        <f>IFERROR(IF($C420="","",INDEX(PRODUCTOS!$E$5:$E$44,MATCH($C420,PRODUCTOS!$B$5:$B$44,0))),"")</f>
        <v/>
      </c>
      <c r="F420" s="17">
        <f>IFERROR(IF($C420="","",$D420*$E420),"")</f>
        <v/>
      </c>
      <c r="G420" s="17">
        <f>IFERROR(IF($C420="","",$F420-$H420),"")</f>
        <v/>
      </c>
      <c r="H420" s="17">
        <f>IFERROR(IF($C420="","",$F420/(1+INICIO!$C$5)),"")</f>
        <v/>
      </c>
      <c r="I420" s="17">
        <f>IFERROR(IF($C420="","",$D420*INDEX(PRODUCTOS!$D$5:$D$44,MATCH($C420,PRODUCTOS!$B$5:$B$44,0))),"")</f>
        <v/>
      </c>
      <c r="J420" s="30">
        <f>IFERROR(IF($C420="","",$H420-$I420),"")</f>
        <v/>
      </c>
      <c r="K420" s="28" t="n"/>
      <c r="L420" s="28" t="n"/>
    </row>
    <row r="421">
      <c r="A421" s="26" t="n"/>
      <c r="B421" s="27">
        <f>IF($A421="","",TEXT($A421,"YYYY-MM"))</f>
        <v/>
      </c>
      <c r="C421" s="28" t="n"/>
      <c r="D421" s="29" t="n"/>
      <c r="E421" s="17">
        <f>IFERROR(IF($C421="","",INDEX(PRODUCTOS!$E$5:$E$44,MATCH($C421,PRODUCTOS!$B$5:$B$44,0))),"")</f>
        <v/>
      </c>
      <c r="F421" s="17">
        <f>IFERROR(IF($C421="","",$D421*$E421),"")</f>
        <v/>
      </c>
      <c r="G421" s="17">
        <f>IFERROR(IF($C421="","",$F421-$H421),"")</f>
        <v/>
      </c>
      <c r="H421" s="17">
        <f>IFERROR(IF($C421="","",$F421/(1+INICIO!$C$5)),"")</f>
        <v/>
      </c>
      <c r="I421" s="17">
        <f>IFERROR(IF($C421="","",$D421*INDEX(PRODUCTOS!$D$5:$D$44,MATCH($C421,PRODUCTOS!$B$5:$B$44,0))),"")</f>
        <v/>
      </c>
      <c r="J421" s="30">
        <f>IFERROR(IF($C421="","",$H421-$I421),"")</f>
        <v/>
      </c>
      <c r="K421" s="28" t="n"/>
      <c r="L421" s="28" t="n"/>
    </row>
    <row r="422">
      <c r="A422" s="26" t="n"/>
      <c r="B422" s="27">
        <f>IF($A422="","",TEXT($A422,"YYYY-MM"))</f>
        <v/>
      </c>
      <c r="C422" s="28" t="n"/>
      <c r="D422" s="29" t="n"/>
      <c r="E422" s="17">
        <f>IFERROR(IF($C422="","",INDEX(PRODUCTOS!$E$5:$E$44,MATCH($C422,PRODUCTOS!$B$5:$B$44,0))),"")</f>
        <v/>
      </c>
      <c r="F422" s="17">
        <f>IFERROR(IF($C422="","",$D422*$E422),"")</f>
        <v/>
      </c>
      <c r="G422" s="17">
        <f>IFERROR(IF($C422="","",$F422-$H422),"")</f>
        <v/>
      </c>
      <c r="H422" s="17">
        <f>IFERROR(IF($C422="","",$F422/(1+INICIO!$C$5)),"")</f>
        <v/>
      </c>
      <c r="I422" s="17">
        <f>IFERROR(IF($C422="","",$D422*INDEX(PRODUCTOS!$D$5:$D$44,MATCH($C422,PRODUCTOS!$B$5:$B$44,0))),"")</f>
        <v/>
      </c>
      <c r="J422" s="30">
        <f>IFERROR(IF($C422="","",$H422-$I422),"")</f>
        <v/>
      </c>
      <c r="K422" s="28" t="n"/>
      <c r="L422" s="28" t="n"/>
    </row>
    <row r="423">
      <c r="A423" s="26" t="n"/>
      <c r="B423" s="27">
        <f>IF($A423="","",TEXT($A423,"YYYY-MM"))</f>
        <v/>
      </c>
      <c r="C423" s="28" t="n"/>
      <c r="D423" s="29" t="n"/>
      <c r="E423" s="17">
        <f>IFERROR(IF($C423="","",INDEX(PRODUCTOS!$E$5:$E$44,MATCH($C423,PRODUCTOS!$B$5:$B$44,0))),"")</f>
        <v/>
      </c>
      <c r="F423" s="17">
        <f>IFERROR(IF($C423="","",$D423*$E423),"")</f>
        <v/>
      </c>
      <c r="G423" s="17">
        <f>IFERROR(IF($C423="","",$F423-$H423),"")</f>
        <v/>
      </c>
      <c r="H423" s="17">
        <f>IFERROR(IF($C423="","",$F423/(1+INICIO!$C$5)),"")</f>
        <v/>
      </c>
      <c r="I423" s="17">
        <f>IFERROR(IF($C423="","",$D423*INDEX(PRODUCTOS!$D$5:$D$44,MATCH($C423,PRODUCTOS!$B$5:$B$44,0))),"")</f>
        <v/>
      </c>
      <c r="J423" s="30">
        <f>IFERROR(IF($C423="","",$H423-$I423),"")</f>
        <v/>
      </c>
      <c r="K423" s="28" t="n"/>
      <c r="L423" s="28" t="n"/>
    </row>
    <row r="424">
      <c r="A424" s="26" t="n"/>
      <c r="B424" s="27">
        <f>IF($A424="","",TEXT($A424,"YYYY-MM"))</f>
        <v/>
      </c>
      <c r="C424" s="28" t="n"/>
      <c r="D424" s="29" t="n"/>
      <c r="E424" s="17">
        <f>IFERROR(IF($C424="","",INDEX(PRODUCTOS!$E$5:$E$44,MATCH($C424,PRODUCTOS!$B$5:$B$44,0))),"")</f>
        <v/>
      </c>
      <c r="F424" s="17">
        <f>IFERROR(IF($C424="","",$D424*$E424),"")</f>
        <v/>
      </c>
      <c r="G424" s="17">
        <f>IFERROR(IF($C424="","",$F424-$H424),"")</f>
        <v/>
      </c>
      <c r="H424" s="17">
        <f>IFERROR(IF($C424="","",$F424/(1+INICIO!$C$5)),"")</f>
        <v/>
      </c>
      <c r="I424" s="17">
        <f>IFERROR(IF($C424="","",$D424*INDEX(PRODUCTOS!$D$5:$D$44,MATCH($C424,PRODUCTOS!$B$5:$B$44,0))),"")</f>
        <v/>
      </c>
      <c r="J424" s="30">
        <f>IFERROR(IF($C424="","",$H424-$I424),"")</f>
        <v/>
      </c>
      <c r="K424" s="28" t="n"/>
      <c r="L424" s="28" t="n"/>
    </row>
    <row r="425">
      <c r="A425" s="26" t="n"/>
      <c r="B425" s="27">
        <f>IF($A425="","",TEXT($A425,"YYYY-MM"))</f>
        <v/>
      </c>
      <c r="C425" s="28" t="n"/>
      <c r="D425" s="29" t="n"/>
      <c r="E425" s="17">
        <f>IFERROR(IF($C425="","",INDEX(PRODUCTOS!$E$5:$E$44,MATCH($C425,PRODUCTOS!$B$5:$B$44,0))),"")</f>
        <v/>
      </c>
      <c r="F425" s="17">
        <f>IFERROR(IF($C425="","",$D425*$E425),"")</f>
        <v/>
      </c>
      <c r="G425" s="17">
        <f>IFERROR(IF($C425="","",$F425-$H425),"")</f>
        <v/>
      </c>
      <c r="H425" s="17">
        <f>IFERROR(IF($C425="","",$F425/(1+INICIO!$C$5)),"")</f>
        <v/>
      </c>
      <c r="I425" s="17">
        <f>IFERROR(IF($C425="","",$D425*INDEX(PRODUCTOS!$D$5:$D$44,MATCH($C425,PRODUCTOS!$B$5:$B$44,0))),"")</f>
        <v/>
      </c>
      <c r="J425" s="30">
        <f>IFERROR(IF($C425="","",$H425-$I425),"")</f>
        <v/>
      </c>
      <c r="K425" s="28" t="n"/>
      <c r="L425" s="28" t="n"/>
    </row>
    <row r="426">
      <c r="A426" s="26" t="n"/>
      <c r="B426" s="27">
        <f>IF($A426="","",TEXT($A426,"YYYY-MM"))</f>
        <v/>
      </c>
      <c r="C426" s="28" t="n"/>
      <c r="D426" s="29" t="n"/>
      <c r="E426" s="17">
        <f>IFERROR(IF($C426="","",INDEX(PRODUCTOS!$E$5:$E$44,MATCH($C426,PRODUCTOS!$B$5:$B$44,0))),"")</f>
        <v/>
      </c>
      <c r="F426" s="17">
        <f>IFERROR(IF($C426="","",$D426*$E426),"")</f>
        <v/>
      </c>
      <c r="G426" s="17">
        <f>IFERROR(IF($C426="","",$F426-$H426),"")</f>
        <v/>
      </c>
      <c r="H426" s="17">
        <f>IFERROR(IF($C426="","",$F426/(1+INICIO!$C$5)),"")</f>
        <v/>
      </c>
      <c r="I426" s="17">
        <f>IFERROR(IF($C426="","",$D426*INDEX(PRODUCTOS!$D$5:$D$44,MATCH($C426,PRODUCTOS!$B$5:$B$44,0))),"")</f>
        <v/>
      </c>
      <c r="J426" s="30">
        <f>IFERROR(IF($C426="","",$H426-$I426),"")</f>
        <v/>
      </c>
      <c r="K426" s="28" t="n"/>
      <c r="L426" s="28" t="n"/>
    </row>
    <row r="427">
      <c r="A427" s="26" t="n"/>
      <c r="B427" s="27">
        <f>IF($A427="","",TEXT($A427,"YYYY-MM"))</f>
        <v/>
      </c>
      <c r="C427" s="28" t="n"/>
      <c r="D427" s="29" t="n"/>
      <c r="E427" s="17">
        <f>IFERROR(IF($C427="","",INDEX(PRODUCTOS!$E$5:$E$44,MATCH($C427,PRODUCTOS!$B$5:$B$44,0))),"")</f>
        <v/>
      </c>
      <c r="F427" s="17">
        <f>IFERROR(IF($C427="","",$D427*$E427),"")</f>
        <v/>
      </c>
      <c r="G427" s="17">
        <f>IFERROR(IF($C427="","",$F427-$H427),"")</f>
        <v/>
      </c>
      <c r="H427" s="17">
        <f>IFERROR(IF($C427="","",$F427/(1+INICIO!$C$5)),"")</f>
        <v/>
      </c>
      <c r="I427" s="17">
        <f>IFERROR(IF($C427="","",$D427*INDEX(PRODUCTOS!$D$5:$D$44,MATCH($C427,PRODUCTOS!$B$5:$B$44,0))),"")</f>
        <v/>
      </c>
      <c r="J427" s="30">
        <f>IFERROR(IF($C427="","",$H427-$I427),"")</f>
        <v/>
      </c>
      <c r="K427" s="28" t="n"/>
      <c r="L427" s="28" t="n"/>
    </row>
    <row r="428">
      <c r="A428" s="26" t="n"/>
      <c r="B428" s="27">
        <f>IF($A428="","",TEXT($A428,"YYYY-MM"))</f>
        <v/>
      </c>
      <c r="C428" s="28" t="n"/>
      <c r="D428" s="29" t="n"/>
      <c r="E428" s="17">
        <f>IFERROR(IF($C428="","",INDEX(PRODUCTOS!$E$5:$E$44,MATCH($C428,PRODUCTOS!$B$5:$B$44,0))),"")</f>
        <v/>
      </c>
      <c r="F428" s="17">
        <f>IFERROR(IF($C428="","",$D428*$E428),"")</f>
        <v/>
      </c>
      <c r="G428" s="17">
        <f>IFERROR(IF($C428="","",$F428-$H428),"")</f>
        <v/>
      </c>
      <c r="H428" s="17">
        <f>IFERROR(IF($C428="","",$F428/(1+INICIO!$C$5)),"")</f>
        <v/>
      </c>
      <c r="I428" s="17">
        <f>IFERROR(IF($C428="","",$D428*INDEX(PRODUCTOS!$D$5:$D$44,MATCH($C428,PRODUCTOS!$B$5:$B$44,0))),"")</f>
        <v/>
      </c>
      <c r="J428" s="30">
        <f>IFERROR(IF($C428="","",$H428-$I428),"")</f>
        <v/>
      </c>
      <c r="K428" s="28" t="n"/>
      <c r="L428" s="28" t="n"/>
    </row>
    <row r="429">
      <c r="A429" s="26" t="n"/>
      <c r="B429" s="27">
        <f>IF($A429="","",TEXT($A429,"YYYY-MM"))</f>
        <v/>
      </c>
      <c r="C429" s="28" t="n"/>
      <c r="D429" s="29" t="n"/>
      <c r="E429" s="17">
        <f>IFERROR(IF($C429="","",INDEX(PRODUCTOS!$E$5:$E$44,MATCH($C429,PRODUCTOS!$B$5:$B$44,0))),"")</f>
        <v/>
      </c>
      <c r="F429" s="17">
        <f>IFERROR(IF($C429="","",$D429*$E429),"")</f>
        <v/>
      </c>
      <c r="G429" s="17">
        <f>IFERROR(IF($C429="","",$F429-$H429),"")</f>
        <v/>
      </c>
      <c r="H429" s="17">
        <f>IFERROR(IF($C429="","",$F429/(1+INICIO!$C$5)),"")</f>
        <v/>
      </c>
      <c r="I429" s="17">
        <f>IFERROR(IF($C429="","",$D429*INDEX(PRODUCTOS!$D$5:$D$44,MATCH($C429,PRODUCTOS!$B$5:$B$44,0))),"")</f>
        <v/>
      </c>
      <c r="J429" s="30">
        <f>IFERROR(IF($C429="","",$H429-$I429),"")</f>
        <v/>
      </c>
      <c r="K429" s="28" t="n"/>
      <c r="L429" s="28" t="n"/>
    </row>
    <row r="430">
      <c r="A430" s="26" t="n"/>
      <c r="B430" s="27">
        <f>IF($A430="","",TEXT($A430,"YYYY-MM"))</f>
        <v/>
      </c>
      <c r="C430" s="28" t="n"/>
      <c r="D430" s="29" t="n"/>
      <c r="E430" s="17">
        <f>IFERROR(IF($C430="","",INDEX(PRODUCTOS!$E$5:$E$44,MATCH($C430,PRODUCTOS!$B$5:$B$44,0))),"")</f>
        <v/>
      </c>
      <c r="F430" s="17">
        <f>IFERROR(IF($C430="","",$D430*$E430),"")</f>
        <v/>
      </c>
      <c r="G430" s="17">
        <f>IFERROR(IF($C430="","",$F430-$H430),"")</f>
        <v/>
      </c>
      <c r="H430" s="17">
        <f>IFERROR(IF($C430="","",$F430/(1+INICIO!$C$5)),"")</f>
        <v/>
      </c>
      <c r="I430" s="17">
        <f>IFERROR(IF($C430="","",$D430*INDEX(PRODUCTOS!$D$5:$D$44,MATCH($C430,PRODUCTOS!$B$5:$B$44,0))),"")</f>
        <v/>
      </c>
      <c r="J430" s="30">
        <f>IFERROR(IF($C430="","",$H430-$I430),"")</f>
        <v/>
      </c>
      <c r="K430" s="28" t="n"/>
      <c r="L430" s="28" t="n"/>
    </row>
    <row r="431">
      <c r="A431" s="26" t="n"/>
      <c r="B431" s="27">
        <f>IF($A431="","",TEXT($A431,"YYYY-MM"))</f>
        <v/>
      </c>
      <c r="C431" s="28" t="n"/>
      <c r="D431" s="29" t="n"/>
      <c r="E431" s="17">
        <f>IFERROR(IF($C431="","",INDEX(PRODUCTOS!$E$5:$E$44,MATCH($C431,PRODUCTOS!$B$5:$B$44,0))),"")</f>
        <v/>
      </c>
      <c r="F431" s="17">
        <f>IFERROR(IF($C431="","",$D431*$E431),"")</f>
        <v/>
      </c>
      <c r="G431" s="17">
        <f>IFERROR(IF($C431="","",$F431-$H431),"")</f>
        <v/>
      </c>
      <c r="H431" s="17">
        <f>IFERROR(IF($C431="","",$F431/(1+INICIO!$C$5)),"")</f>
        <v/>
      </c>
      <c r="I431" s="17">
        <f>IFERROR(IF($C431="","",$D431*INDEX(PRODUCTOS!$D$5:$D$44,MATCH($C431,PRODUCTOS!$B$5:$B$44,0))),"")</f>
        <v/>
      </c>
      <c r="J431" s="30">
        <f>IFERROR(IF($C431="","",$H431-$I431),"")</f>
        <v/>
      </c>
      <c r="K431" s="28" t="n"/>
      <c r="L431" s="28" t="n"/>
    </row>
    <row r="432">
      <c r="A432" s="26" t="n"/>
      <c r="B432" s="27">
        <f>IF($A432="","",TEXT($A432,"YYYY-MM"))</f>
        <v/>
      </c>
      <c r="C432" s="28" t="n"/>
      <c r="D432" s="29" t="n"/>
      <c r="E432" s="17">
        <f>IFERROR(IF($C432="","",INDEX(PRODUCTOS!$E$5:$E$44,MATCH($C432,PRODUCTOS!$B$5:$B$44,0))),"")</f>
        <v/>
      </c>
      <c r="F432" s="17">
        <f>IFERROR(IF($C432="","",$D432*$E432),"")</f>
        <v/>
      </c>
      <c r="G432" s="17">
        <f>IFERROR(IF($C432="","",$F432-$H432),"")</f>
        <v/>
      </c>
      <c r="H432" s="17">
        <f>IFERROR(IF($C432="","",$F432/(1+INICIO!$C$5)),"")</f>
        <v/>
      </c>
      <c r="I432" s="17">
        <f>IFERROR(IF($C432="","",$D432*INDEX(PRODUCTOS!$D$5:$D$44,MATCH($C432,PRODUCTOS!$B$5:$B$44,0))),"")</f>
        <v/>
      </c>
      <c r="J432" s="30">
        <f>IFERROR(IF($C432="","",$H432-$I432),"")</f>
        <v/>
      </c>
      <c r="K432" s="28" t="n"/>
      <c r="L432" s="28" t="n"/>
    </row>
    <row r="433">
      <c r="A433" s="26" t="n"/>
      <c r="B433" s="27">
        <f>IF($A433="","",TEXT($A433,"YYYY-MM"))</f>
        <v/>
      </c>
      <c r="C433" s="28" t="n"/>
      <c r="D433" s="29" t="n"/>
      <c r="E433" s="17">
        <f>IFERROR(IF($C433="","",INDEX(PRODUCTOS!$E$5:$E$44,MATCH($C433,PRODUCTOS!$B$5:$B$44,0))),"")</f>
        <v/>
      </c>
      <c r="F433" s="17">
        <f>IFERROR(IF($C433="","",$D433*$E433),"")</f>
        <v/>
      </c>
      <c r="G433" s="17">
        <f>IFERROR(IF($C433="","",$F433-$H433),"")</f>
        <v/>
      </c>
      <c r="H433" s="17">
        <f>IFERROR(IF($C433="","",$F433/(1+INICIO!$C$5)),"")</f>
        <v/>
      </c>
      <c r="I433" s="17">
        <f>IFERROR(IF($C433="","",$D433*INDEX(PRODUCTOS!$D$5:$D$44,MATCH($C433,PRODUCTOS!$B$5:$B$44,0))),"")</f>
        <v/>
      </c>
      <c r="J433" s="30">
        <f>IFERROR(IF($C433="","",$H433-$I433),"")</f>
        <v/>
      </c>
      <c r="K433" s="28" t="n"/>
      <c r="L433" s="28" t="n"/>
    </row>
    <row r="434">
      <c r="A434" s="26" t="n"/>
      <c r="B434" s="27">
        <f>IF($A434="","",TEXT($A434,"YYYY-MM"))</f>
        <v/>
      </c>
      <c r="C434" s="28" t="n"/>
      <c r="D434" s="29" t="n"/>
      <c r="E434" s="17">
        <f>IFERROR(IF($C434="","",INDEX(PRODUCTOS!$E$5:$E$44,MATCH($C434,PRODUCTOS!$B$5:$B$44,0))),"")</f>
        <v/>
      </c>
      <c r="F434" s="17">
        <f>IFERROR(IF($C434="","",$D434*$E434),"")</f>
        <v/>
      </c>
      <c r="G434" s="17">
        <f>IFERROR(IF($C434="","",$F434-$H434),"")</f>
        <v/>
      </c>
      <c r="H434" s="17">
        <f>IFERROR(IF($C434="","",$F434/(1+INICIO!$C$5)),"")</f>
        <v/>
      </c>
      <c r="I434" s="17">
        <f>IFERROR(IF($C434="","",$D434*INDEX(PRODUCTOS!$D$5:$D$44,MATCH($C434,PRODUCTOS!$B$5:$B$44,0))),"")</f>
        <v/>
      </c>
      <c r="J434" s="30">
        <f>IFERROR(IF($C434="","",$H434-$I434),"")</f>
        <v/>
      </c>
      <c r="K434" s="28" t="n"/>
      <c r="L434" s="28" t="n"/>
    </row>
    <row r="435">
      <c r="A435" s="26" t="n"/>
      <c r="B435" s="27">
        <f>IF($A435="","",TEXT($A435,"YYYY-MM"))</f>
        <v/>
      </c>
      <c r="C435" s="28" t="n"/>
      <c r="D435" s="29" t="n"/>
      <c r="E435" s="17">
        <f>IFERROR(IF($C435="","",INDEX(PRODUCTOS!$E$5:$E$44,MATCH($C435,PRODUCTOS!$B$5:$B$44,0))),"")</f>
        <v/>
      </c>
      <c r="F435" s="17">
        <f>IFERROR(IF($C435="","",$D435*$E435),"")</f>
        <v/>
      </c>
      <c r="G435" s="17">
        <f>IFERROR(IF($C435="","",$F435-$H435),"")</f>
        <v/>
      </c>
      <c r="H435" s="17">
        <f>IFERROR(IF($C435="","",$F435/(1+INICIO!$C$5)),"")</f>
        <v/>
      </c>
      <c r="I435" s="17">
        <f>IFERROR(IF($C435="","",$D435*INDEX(PRODUCTOS!$D$5:$D$44,MATCH($C435,PRODUCTOS!$B$5:$B$44,0))),"")</f>
        <v/>
      </c>
      <c r="J435" s="30">
        <f>IFERROR(IF($C435="","",$H435-$I435),"")</f>
        <v/>
      </c>
      <c r="K435" s="28" t="n"/>
      <c r="L435" s="28" t="n"/>
    </row>
    <row r="436">
      <c r="A436" s="26" t="n"/>
      <c r="B436" s="27">
        <f>IF($A436="","",TEXT($A436,"YYYY-MM"))</f>
        <v/>
      </c>
      <c r="C436" s="28" t="n"/>
      <c r="D436" s="29" t="n"/>
      <c r="E436" s="17">
        <f>IFERROR(IF($C436="","",INDEX(PRODUCTOS!$E$5:$E$44,MATCH($C436,PRODUCTOS!$B$5:$B$44,0))),"")</f>
        <v/>
      </c>
      <c r="F436" s="17">
        <f>IFERROR(IF($C436="","",$D436*$E436),"")</f>
        <v/>
      </c>
      <c r="G436" s="17">
        <f>IFERROR(IF($C436="","",$F436-$H436),"")</f>
        <v/>
      </c>
      <c r="H436" s="17">
        <f>IFERROR(IF($C436="","",$F436/(1+INICIO!$C$5)),"")</f>
        <v/>
      </c>
      <c r="I436" s="17">
        <f>IFERROR(IF($C436="","",$D436*INDEX(PRODUCTOS!$D$5:$D$44,MATCH($C436,PRODUCTOS!$B$5:$B$44,0))),"")</f>
        <v/>
      </c>
      <c r="J436" s="30">
        <f>IFERROR(IF($C436="","",$H436-$I436),"")</f>
        <v/>
      </c>
      <c r="K436" s="28" t="n"/>
      <c r="L436" s="28" t="n"/>
    </row>
    <row r="437">
      <c r="A437" s="26" t="n"/>
      <c r="B437" s="27">
        <f>IF($A437="","",TEXT($A437,"YYYY-MM"))</f>
        <v/>
      </c>
      <c r="C437" s="28" t="n"/>
      <c r="D437" s="29" t="n"/>
      <c r="E437" s="17">
        <f>IFERROR(IF($C437="","",INDEX(PRODUCTOS!$E$5:$E$44,MATCH($C437,PRODUCTOS!$B$5:$B$44,0))),"")</f>
        <v/>
      </c>
      <c r="F437" s="17">
        <f>IFERROR(IF($C437="","",$D437*$E437),"")</f>
        <v/>
      </c>
      <c r="G437" s="17">
        <f>IFERROR(IF($C437="","",$F437-$H437),"")</f>
        <v/>
      </c>
      <c r="H437" s="17">
        <f>IFERROR(IF($C437="","",$F437/(1+INICIO!$C$5)),"")</f>
        <v/>
      </c>
      <c r="I437" s="17">
        <f>IFERROR(IF($C437="","",$D437*INDEX(PRODUCTOS!$D$5:$D$44,MATCH($C437,PRODUCTOS!$B$5:$B$44,0))),"")</f>
        <v/>
      </c>
      <c r="J437" s="30">
        <f>IFERROR(IF($C437="","",$H437-$I437),"")</f>
        <v/>
      </c>
      <c r="K437" s="28" t="n"/>
      <c r="L437" s="28" t="n"/>
    </row>
    <row r="438">
      <c r="A438" s="26" t="n"/>
      <c r="B438" s="27">
        <f>IF($A438="","",TEXT($A438,"YYYY-MM"))</f>
        <v/>
      </c>
      <c r="C438" s="28" t="n"/>
      <c r="D438" s="29" t="n"/>
      <c r="E438" s="17">
        <f>IFERROR(IF($C438="","",INDEX(PRODUCTOS!$E$5:$E$44,MATCH($C438,PRODUCTOS!$B$5:$B$44,0))),"")</f>
        <v/>
      </c>
      <c r="F438" s="17">
        <f>IFERROR(IF($C438="","",$D438*$E438),"")</f>
        <v/>
      </c>
      <c r="G438" s="17">
        <f>IFERROR(IF($C438="","",$F438-$H438),"")</f>
        <v/>
      </c>
      <c r="H438" s="17">
        <f>IFERROR(IF($C438="","",$F438/(1+INICIO!$C$5)),"")</f>
        <v/>
      </c>
      <c r="I438" s="17">
        <f>IFERROR(IF($C438="","",$D438*INDEX(PRODUCTOS!$D$5:$D$44,MATCH($C438,PRODUCTOS!$B$5:$B$44,0))),"")</f>
        <v/>
      </c>
      <c r="J438" s="30">
        <f>IFERROR(IF($C438="","",$H438-$I438),"")</f>
        <v/>
      </c>
      <c r="K438" s="28" t="n"/>
      <c r="L438" s="28" t="n"/>
    </row>
    <row r="439">
      <c r="A439" s="26" t="n"/>
      <c r="B439" s="27">
        <f>IF($A439="","",TEXT($A439,"YYYY-MM"))</f>
        <v/>
      </c>
      <c r="C439" s="28" t="n"/>
      <c r="D439" s="29" t="n"/>
      <c r="E439" s="17">
        <f>IFERROR(IF($C439="","",INDEX(PRODUCTOS!$E$5:$E$44,MATCH($C439,PRODUCTOS!$B$5:$B$44,0))),"")</f>
        <v/>
      </c>
      <c r="F439" s="17">
        <f>IFERROR(IF($C439="","",$D439*$E439),"")</f>
        <v/>
      </c>
      <c r="G439" s="17">
        <f>IFERROR(IF($C439="","",$F439-$H439),"")</f>
        <v/>
      </c>
      <c r="H439" s="17">
        <f>IFERROR(IF($C439="","",$F439/(1+INICIO!$C$5)),"")</f>
        <v/>
      </c>
      <c r="I439" s="17">
        <f>IFERROR(IF($C439="","",$D439*INDEX(PRODUCTOS!$D$5:$D$44,MATCH($C439,PRODUCTOS!$B$5:$B$44,0))),"")</f>
        <v/>
      </c>
      <c r="J439" s="30">
        <f>IFERROR(IF($C439="","",$H439-$I439),"")</f>
        <v/>
      </c>
      <c r="K439" s="28" t="n"/>
      <c r="L439" s="28" t="n"/>
    </row>
    <row r="440">
      <c r="A440" s="26" t="n"/>
      <c r="B440" s="27">
        <f>IF($A440="","",TEXT($A440,"YYYY-MM"))</f>
        <v/>
      </c>
      <c r="C440" s="28" t="n"/>
      <c r="D440" s="29" t="n"/>
      <c r="E440" s="17">
        <f>IFERROR(IF($C440="","",INDEX(PRODUCTOS!$E$5:$E$44,MATCH($C440,PRODUCTOS!$B$5:$B$44,0))),"")</f>
        <v/>
      </c>
      <c r="F440" s="17">
        <f>IFERROR(IF($C440="","",$D440*$E440),"")</f>
        <v/>
      </c>
      <c r="G440" s="17">
        <f>IFERROR(IF($C440="","",$F440-$H440),"")</f>
        <v/>
      </c>
      <c r="H440" s="17">
        <f>IFERROR(IF($C440="","",$F440/(1+INICIO!$C$5)),"")</f>
        <v/>
      </c>
      <c r="I440" s="17">
        <f>IFERROR(IF($C440="","",$D440*INDEX(PRODUCTOS!$D$5:$D$44,MATCH($C440,PRODUCTOS!$B$5:$B$44,0))),"")</f>
        <v/>
      </c>
      <c r="J440" s="30">
        <f>IFERROR(IF($C440="","",$H440-$I440),"")</f>
        <v/>
      </c>
      <c r="K440" s="28" t="n"/>
      <c r="L440" s="28" t="n"/>
    </row>
    <row r="441">
      <c r="A441" s="26" t="n"/>
      <c r="B441" s="27">
        <f>IF($A441="","",TEXT($A441,"YYYY-MM"))</f>
        <v/>
      </c>
      <c r="C441" s="28" t="n"/>
      <c r="D441" s="29" t="n"/>
      <c r="E441" s="17">
        <f>IFERROR(IF($C441="","",INDEX(PRODUCTOS!$E$5:$E$44,MATCH($C441,PRODUCTOS!$B$5:$B$44,0))),"")</f>
        <v/>
      </c>
      <c r="F441" s="17">
        <f>IFERROR(IF($C441="","",$D441*$E441),"")</f>
        <v/>
      </c>
      <c r="G441" s="17">
        <f>IFERROR(IF($C441="","",$F441-$H441),"")</f>
        <v/>
      </c>
      <c r="H441" s="17">
        <f>IFERROR(IF($C441="","",$F441/(1+INICIO!$C$5)),"")</f>
        <v/>
      </c>
      <c r="I441" s="17">
        <f>IFERROR(IF($C441="","",$D441*INDEX(PRODUCTOS!$D$5:$D$44,MATCH($C441,PRODUCTOS!$B$5:$B$44,0))),"")</f>
        <v/>
      </c>
      <c r="J441" s="30">
        <f>IFERROR(IF($C441="","",$H441-$I441),"")</f>
        <v/>
      </c>
      <c r="K441" s="28" t="n"/>
      <c r="L441" s="28" t="n"/>
    </row>
    <row r="442">
      <c r="A442" s="26" t="n"/>
      <c r="B442" s="27">
        <f>IF($A442="","",TEXT($A442,"YYYY-MM"))</f>
        <v/>
      </c>
      <c r="C442" s="28" t="n"/>
      <c r="D442" s="29" t="n"/>
      <c r="E442" s="17">
        <f>IFERROR(IF($C442="","",INDEX(PRODUCTOS!$E$5:$E$44,MATCH($C442,PRODUCTOS!$B$5:$B$44,0))),"")</f>
        <v/>
      </c>
      <c r="F442" s="17">
        <f>IFERROR(IF($C442="","",$D442*$E442),"")</f>
        <v/>
      </c>
      <c r="G442" s="17">
        <f>IFERROR(IF($C442="","",$F442-$H442),"")</f>
        <v/>
      </c>
      <c r="H442" s="17">
        <f>IFERROR(IF($C442="","",$F442/(1+INICIO!$C$5)),"")</f>
        <v/>
      </c>
      <c r="I442" s="17">
        <f>IFERROR(IF($C442="","",$D442*INDEX(PRODUCTOS!$D$5:$D$44,MATCH($C442,PRODUCTOS!$B$5:$B$44,0))),"")</f>
        <v/>
      </c>
      <c r="J442" s="30">
        <f>IFERROR(IF($C442="","",$H442-$I442),"")</f>
        <v/>
      </c>
      <c r="K442" s="28" t="n"/>
      <c r="L442" s="28" t="n"/>
    </row>
    <row r="443">
      <c r="A443" s="26" t="n"/>
      <c r="B443" s="27">
        <f>IF($A443="","",TEXT($A443,"YYYY-MM"))</f>
        <v/>
      </c>
      <c r="C443" s="28" t="n"/>
      <c r="D443" s="29" t="n"/>
      <c r="E443" s="17">
        <f>IFERROR(IF($C443="","",INDEX(PRODUCTOS!$E$5:$E$44,MATCH($C443,PRODUCTOS!$B$5:$B$44,0))),"")</f>
        <v/>
      </c>
      <c r="F443" s="17">
        <f>IFERROR(IF($C443="","",$D443*$E443),"")</f>
        <v/>
      </c>
      <c r="G443" s="17">
        <f>IFERROR(IF($C443="","",$F443-$H443),"")</f>
        <v/>
      </c>
      <c r="H443" s="17">
        <f>IFERROR(IF($C443="","",$F443/(1+INICIO!$C$5)),"")</f>
        <v/>
      </c>
      <c r="I443" s="17">
        <f>IFERROR(IF($C443="","",$D443*INDEX(PRODUCTOS!$D$5:$D$44,MATCH($C443,PRODUCTOS!$B$5:$B$44,0))),"")</f>
        <v/>
      </c>
      <c r="J443" s="30">
        <f>IFERROR(IF($C443="","",$H443-$I443),"")</f>
        <v/>
      </c>
      <c r="K443" s="28" t="n"/>
      <c r="L443" s="28" t="n"/>
    </row>
    <row r="444">
      <c r="A444" s="26" t="n"/>
      <c r="B444" s="27">
        <f>IF($A444="","",TEXT($A444,"YYYY-MM"))</f>
        <v/>
      </c>
      <c r="C444" s="28" t="n"/>
      <c r="D444" s="29" t="n"/>
      <c r="E444" s="17">
        <f>IFERROR(IF($C444="","",INDEX(PRODUCTOS!$E$5:$E$44,MATCH($C444,PRODUCTOS!$B$5:$B$44,0))),"")</f>
        <v/>
      </c>
      <c r="F444" s="17">
        <f>IFERROR(IF($C444="","",$D444*$E444),"")</f>
        <v/>
      </c>
      <c r="G444" s="17">
        <f>IFERROR(IF($C444="","",$F444-$H444),"")</f>
        <v/>
      </c>
      <c r="H444" s="17">
        <f>IFERROR(IF($C444="","",$F444/(1+INICIO!$C$5)),"")</f>
        <v/>
      </c>
      <c r="I444" s="17">
        <f>IFERROR(IF($C444="","",$D444*INDEX(PRODUCTOS!$D$5:$D$44,MATCH($C444,PRODUCTOS!$B$5:$B$44,0))),"")</f>
        <v/>
      </c>
      <c r="J444" s="30">
        <f>IFERROR(IF($C444="","",$H444-$I444),"")</f>
        <v/>
      </c>
      <c r="K444" s="28" t="n"/>
      <c r="L444" s="28" t="n"/>
    </row>
    <row r="445">
      <c r="A445" s="26" t="n"/>
      <c r="B445" s="27">
        <f>IF($A445="","",TEXT($A445,"YYYY-MM"))</f>
        <v/>
      </c>
      <c r="C445" s="28" t="n"/>
      <c r="D445" s="29" t="n"/>
      <c r="E445" s="17">
        <f>IFERROR(IF($C445="","",INDEX(PRODUCTOS!$E$5:$E$44,MATCH($C445,PRODUCTOS!$B$5:$B$44,0))),"")</f>
        <v/>
      </c>
      <c r="F445" s="17">
        <f>IFERROR(IF($C445="","",$D445*$E445),"")</f>
        <v/>
      </c>
      <c r="G445" s="17">
        <f>IFERROR(IF($C445="","",$F445-$H445),"")</f>
        <v/>
      </c>
      <c r="H445" s="17">
        <f>IFERROR(IF($C445="","",$F445/(1+INICIO!$C$5)),"")</f>
        <v/>
      </c>
      <c r="I445" s="17">
        <f>IFERROR(IF($C445="","",$D445*INDEX(PRODUCTOS!$D$5:$D$44,MATCH($C445,PRODUCTOS!$B$5:$B$44,0))),"")</f>
        <v/>
      </c>
      <c r="J445" s="30">
        <f>IFERROR(IF($C445="","",$H445-$I445),"")</f>
        <v/>
      </c>
      <c r="K445" s="28" t="n"/>
      <c r="L445" s="28" t="n"/>
    </row>
    <row r="446">
      <c r="A446" s="26" t="n"/>
      <c r="B446" s="27">
        <f>IF($A446="","",TEXT($A446,"YYYY-MM"))</f>
        <v/>
      </c>
      <c r="C446" s="28" t="n"/>
      <c r="D446" s="29" t="n"/>
      <c r="E446" s="17">
        <f>IFERROR(IF($C446="","",INDEX(PRODUCTOS!$E$5:$E$44,MATCH($C446,PRODUCTOS!$B$5:$B$44,0))),"")</f>
        <v/>
      </c>
      <c r="F446" s="17">
        <f>IFERROR(IF($C446="","",$D446*$E446),"")</f>
        <v/>
      </c>
      <c r="G446" s="17">
        <f>IFERROR(IF($C446="","",$F446-$H446),"")</f>
        <v/>
      </c>
      <c r="H446" s="17">
        <f>IFERROR(IF($C446="","",$F446/(1+INICIO!$C$5)),"")</f>
        <v/>
      </c>
      <c r="I446" s="17">
        <f>IFERROR(IF($C446="","",$D446*INDEX(PRODUCTOS!$D$5:$D$44,MATCH($C446,PRODUCTOS!$B$5:$B$44,0))),"")</f>
        <v/>
      </c>
      <c r="J446" s="30">
        <f>IFERROR(IF($C446="","",$H446-$I446),"")</f>
        <v/>
      </c>
      <c r="K446" s="28" t="n"/>
      <c r="L446" s="28" t="n"/>
    </row>
    <row r="447">
      <c r="A447" s="26" t="n"/>
      <c r="B447" s="27">
        <f>IF($A447="","",TEXT($A447,"YYYY-MM"))</f>
        <v/>
      </c>
      <c r="C447" s="28" t="n"/>
      <c r="D447" s="29" t="n"/>
      <c r="E447" s="17">
        <f>IFERROR(IF($C447="","",INDEX(PRODUCTOS!$E$5:$E$44,MATCH($C447,PRODUCTOS!$B$5:$B$44,0))),"")</f>
        <v/>
      </c>
      <c r="F447" s="17">
        <f>IFERROR(IF($C447="","",$D447*$E447),"")</f>
        <v/>
      </c>
      <c r="G447" s="17">
        <f>IFERROR(IF($C447="","",$F447-$H447),"")</f>
        <v/>
      </c>
      <c r="H447" s="17">
        <f>IFERROR(IF($C447="","",$F447/(1+INICIO!$C$5)),"")</f>
        <v/>
      </c>
      <c r="I447" s="17">
        <f>IFERROR(IF($C447="","",$D447*INDEX(PRODUCTOS!$D$5:$D$44,MATCH($C447,PRODUCTOS!$B$5:$B$44,0))),"")</f>
        <v/>
      </c>
      <c r="J447" s="30">
        <f>IFERROR(IF($C447="","",$H447-$I447),"")</f>
        <v/>
      </c>
      <c r="K447" s="28" t="n"/>
      <c r="L447" s="28" t="n"/>
    </row>
    <row r="448">
      <c r="A448" s="26" t="n"/>
      <c r="B448" s="27">
        <f>IF($A448="","",TEXT($A448,"YYYY-MM"))</f>
        <v/>
      </c>
      <c r="C448" s="28" t="n"/>
      <c r="D448" s="29" t="n"/>
      <c r="E448" s="17">
        <f>IFERROR(IF($C448="","",INDEX(PRODUCTOS!$E$5:$E$44,MATCH($C448,PRODUCTOS!$B$5:$B$44,0))),"")</f>
        <v/>
      </c>
      <c r="F448" s="17">
        <f>IFERROR(IF($C448="","",$D448*$E448),"")</f>
        <v/>
      </c>
      <c r="G448" s="17">
        <f>IFERROR(IF($C448="","",$F448-$H448),"")</f>
        <v/>
      </c>
      <c r="H448" s="17">
        <f>IFERROR(IF($C448="","",$F448/(1+INICIO!$C$5)),"")</f>
        <v/>
      </c>
      <c r="I448" s="17">
        <f>IFERROR(IF($C448="","",$D448*INDEX(PRODUCTOS!$D$5:$D$44,MATCH($C448,PRODUCTOS!$B$5:$B$44,0))),"")</f>
        <v/>
      </c>
      <c r="J448" s="30">
        <f>IFERROR(IF($C448="","",$H448-$I448),"")</f>
        <v/>
      </c>
      <c r="K448" s="28" t="n"/>
      <c r="L448" s="28" t="n"/>
    </row>
    <row r="449">
      <c r="A449" s="26" t="n"/>
      <c r="B449" s="27">
        <f>IF($A449="","",TEXT($A449,"YYYY-MM"))</f>
        <v/>
      </c>
      <c r="C449" s="28" t="n"/>
      <c r="D449" s="29" t="n"/>
      <c r="E449" s="17">
        <f>IFERROR(IF($C449="","",INDEX(PRODUCTOS!$E$5:$E$44,MATCH($C449,PRODUCTOS!$B$5:$B$44,0))),"")</f>
        <v/>
      </c>
      <c r="F449" s="17">
        <f>IFERROR(IF($C449="","",$D449*$E449),"")</f>
        <v/>
      </c>
      <c r="G449" s="17">
        <f>IFERROR(IF($C449="","",$F449-$H449),"")</f>
        <v/>
      </c>
      <c r="H449" s="17">
        <f>IFERROR(IF($C449="","",$F449/(1+INICIO!$C$5)),"")</f>
        <v/>
      </c>
      <c r="I449" s="17">
        <f>IFERROR(IF($C449="","",$D449*INDEX(PRODUCTOS!$D$5:$D$44,MATCH($C449,PRODUCTOS!$B$5:$B$44,0))),"")</f>
        <v/>
      </c>
      <c r="J449" s="30">
        <f>IFERROR(IF($C449="","",$H449-$I449),"")</f>
        <v/>
      </c>
      <c r="K449" s="28" t="n"/>
      <c r="L449" s="28" t="n"/>
    </row>
    <row r="450">
      <c r="A450" s="26" t="n"/>
      <c r="B450" s="27">
        <f>IF($A450="","",TEXT($A450,"YYYY-MM"))</f>
        <v/>
      </c>
      <c r="C450" s="28" t="n"/>
      <c r="D450" s="29" t="n"/>
      <c r="E450" s="17">
        <f>IFERROR(IF($C450="","",INDEX(PRODUCTOS!$E$5:$E$44,MATCH($C450,PRODUCTOS!$B$5:$B$44,0))),"")</f>
        <v/>
      </c>
      <c r="F450" s="17">
        <f>IFERROR(IF($C450="","",$D450*$E450),"")</f>
        <v/>
      </c>
      <c r="G450" s="17">
        <f>IFERROR(IF($C450="","",$F450-$H450),"")</f>
        <v/>
      </c>
      <c r="H450" s="17">
        <f>IFERROR(IF($C450="","",$F450/(1+INICIO!$C$5)),"")</f>
        <v/>
      </c>
      <c r="I450" s="17">
        <f>IFERROR(IF($C450="","",$D450*INDEX(PRODUCTOS!$D$5:$D$44,MATCH($C450,PRODUCTOS!$B$5:$B$44,0))),"")</f>
        <v/>
      </c>
      <c r="J450" s="30">
        <f>IFERROR(IF($C450="","",$H450-$I450),"")</f>
        <v/>
      </c>
      <c r="K450" s="28" t="n"/>
      <c r="L450" s="28" t="n"/>
    </row>
    <row r="451">
      <c r="A451" s="26" t="n"/>
      <c r="B451" s="27">
        <f>IF($A451="","",TEXT($A451,"YYYY-MM"))</f>
        <v/>
      </c>
      <c r="C451" s="28" t="n"/>
      <c r="D451" s="29" t="n"/>
      <c r="E451" s="17">
        <f>IFERROR(IF($C451="","",INDEX(PRODUCTOS!$E$5:$E$44,MATCH($C451,PRODUCTOS!$B$5:$B$44,0))),"")</f>
        <v/>
      </c>
      <c r="F451" s="17">
        <f>IFERROR(IF($C451="","",$D451*$E451),"")</f>
        <v/>
      </c>
      <c r="G451" s="17">
        <f>IFERROR(IF($C451="","",$F451-$H451),"")</f>
        <v/>
      </c>
      <c r="H451" s="17">
        <f>IFERROR(IF($C451="","",$F451/(1+INICIO!$C$5)),"")</f>
        <v/>
      </c>
      <c r="I451" s="17">
        <f>IFERROR(IF($C451="","",$D451*INDEX(PRODUCTOS!$D$5:$D$44,MATCH($C451,PRODUCTOS!$B$5:$B$44,0))),"")</f>
        <v/>
      </c>
      <c r="J451" s="30">
        <f>IFERROR(IF($C451="","",$H451-$I451),"")</f>
        <v/>
      </c>
      <c r="K451" s="28" t="n"/>
      <c r="L451" s="28" t="n"/>
    </row>
    <row r="452">
      <c r="A452" s="26" t="n"/>
      <c r="B452" s="27">
        <f>IF($A452="","",TEXT($A452,"YYYY-MM"))</f>
        <v/>
      </c>
      <c r="C452" s="28" t="n"/>
      <c r="D452" s="29" t="n"/>
      <c r="E452" s="17">
        <f>IFERROR(IF($C452="","",INDEX(PRODUCTOS!$E$5:$E$44,MATCH($C452,PRODUCTOS!$B$5:$B$44,0))),"")</f>
        <v/>
      </c>
      <c r="F452" s="17">
        <f>IFERROR(IF($C452="","",$D452*$E452),"")</f>
        <v/>
      </c>
      <c r="G452" s="17">
        <f>IFERROR(IF($C452="","",$F452-$H452),"")</f>
        <v/>
      </c>
      <c r="H452" s="17">
        <f>IFERROR(IF($C452="","",$F452/(1+INICIO!$C$5)),"")</f>
        <v/>
      </c>
      <c r="I452" s="17">
        <f>IFERROR(IF($C452="","",$D452*INDEX(PRODUCTOS!$D$5:$D$44,MATCH($C452,PRODUCTOS!$B$5:$B$44,0))),"")</f>
        <v/>
      </c>
      <c r="J452" s="30">
        <f>IFERROR(IF($C452="","",$H452-$I452),"")</f>
        <v/>
      </c>
      <c r="K452" s="28" t="n"/>
      <c r="L452" s="28" t="n"/>
    </row>
    <row r="453">
      <c r="A453" s="26" t="n"/>
      <c r="B453" s="27">
        <f>IF($A453="","",TEXT($A453,"YYYY-MM"))</f>
        <v/>
      </c>
      <c r="C453" s="28" t="n"/>
      <c r="D453" s="29" t="n"/>
      <c r="E453" s="17">
        <f>IFERROR(IF($C453="","",INDEX(PRODUCTOS!$E$5:$E$44,MATCH($C453,PRODUCTOS!$B$5:$B$44,0))),"")</f>
        <v/>
      </c>
      <c r="F453" s="17">
        <f>IFERROR(IF($C453="","",$D453*$E453),"")</f>
        <v/>
      </c>
      <c r="G453" s="17">
        <f>IFERROR(IF($C453="","",$F453-$H453),"")</f>
        <v/>
      </c>
      <c r="H453" s="17">
        <f>IFERROR(IF($C453="","",$F453/(1+INICIO!$C$5)),"")</f>
        <v/>
      </c>
      <c r="I453" s="17">
        <f>IFERROR(IF($C453="","",$D453*INDEX(PRODUCTOS!$D$5:$D$44,MATCH($C453,PRODUCTOS!$B$5:$B$44,0))),"")</f>
        <v/>
      </c>
      <c r="J453" s="30">
        <f>IFERROR(IF($C453="","",$H453-$I453),"")</f>
        <v/>
      </c>
      <c r="K453" s="28" t="n"/>
      <c r="L453" s="28" t="n"/>
    </row>
    <row r="454">
      <c r="A454" s="26" t="n"/>
      <c r="B454" s="27">
        <f>IF($A454="","",TEXT($A454,"YYYY-MM"))</f>
        <v/>
      </c>
      <c r="C454" s="28" t="n"/>
      <c r="D454" s="29" t="n"/>
      <c r="E454" s="17">
        <f>IFERROR(IF($C454="","",INDEX(PRODUCTOS!$E$5:$E$44,MATCH($C454,PRODUCTOS!$B$5:$B$44,0))),"")</f>
        <v/>
      </c>
      <c r="F454" s="17">
        <f>IFERROR(IF($C454="","",$D454*$E454),"")</f>
        <v/>
      </c>
      <c r="G454" s="17">
        <f>IFERROR(IF($C454="","",$F454-$H454),"")</f>
        <v/>
      </c>
      <c r="H454" s="17">
        <f>IFERROR(IF($C454="","",$F454/(1+INICIO!$C$5)),"")</f>
        <v/>
      </c>
      <c r="I454" s="17">
        <f>IFERROR(IF($C454="","",$D454*INDEX(PRODUCTOS!$D$5:$D$44,MATCH($C454,PRODUCTOS!$B$5:$B$44,0))),"")</f>
        <v/>
      </c>
      <c r="J454" s="30">
        <f>IFERROR(IF($C454="","",$H454-$I454),"")</f>
        <v/>
      </c>
      <c r="K454" s="28" t="n"/>
      <c r="L454" s="28" t="n"/>
    </row>
    <row r="455">
      <c r="A455" s="26" t="n"/>
      <c r="B455" s="27">
        <f>IF($A455="","",TEXT($A455,"YYYY-MM"))</f>
        <v/>
      </c>
      <c r="C455" s="28" t="n"/>
      <c r="D455" s="29" t="n"/>
      <c r="E455" s="17">
        <f>IFERROR(IF($C455="","",INDEX(PRODUCTOS!$E$5:$E$44,MATCH($C455,PRODUCTOS!$B$5:$B$44,0))),"")</f>
        <v/>
      </c>
      <c r="F455" s="17">
        <f>IFERROR(IF($C455="","",$D455*$E455),"")</f>
        <v/>
      </c>
      <c r="G455" s="17">
        <f>IFERROR(IF($C455="","",$F455-$H455),"")</f>
        <v/>
      </c>
      <c r="H455" s="17">
        <f>IFERROR(IF($C455="","",$F455/(1+INICIO!$C$5)),"")</f>
        <v/>
      </c>
      <c r="I455" s="17">
        <f>IFERROR(IF($C455="","",$D455*INDEX(PRODUCTOS!$D$5:$D$44,MATCH($C455,PRODUCTOS!$B$5:$B$44,0))),"")</f>
        <v/>
      </c>
      <c r="J455" s="30">
        <f>IFERROR(IF($C455="","",$H455-$I455),"")</f>
        <v/>
      </c>
      <c r="K455" s="28" t="n"/>
      <c r="L455" s="28" t="n"/>
    </row>
    <row r="456">
      <c r="A456" s="26" t="n"/>
      <c r="B456" s="27">
        <f>IF($A456="","",TEXT($A456,"YYYY-MM"))</f>
        <v/>
      </c>
      <c r="C456" s="28" t="n"/>
      <c r="D456" s="29" t="n"/>
      <c r="E456" s="17">
        <f>IFERROR(IF($C456="","",INDEX(PRODUCTOS!$E$5:$E$44,MATCH($C456,PRODUCTOS!$B$5:$B$44,0))),"")</f>
        <v/>
      </c>
      <c r="F456" s="17">
        <f>IFERROR(IF($C456="","",$D456*$E456),"")</f>
        <v/>
      </c>
      <c r="G456" s="17">
        <f>IFERROR(IF($C456="","",$F456-$H456),"")</f>
        <v/>
      </c>
      <c r="H456" s="17">
        <f>IFERROR(IF($C456="","",$F456/(1+INICIO!$C$5)),"")</f>
        <v/>
      </c>
      <c r="I456" s="17">
        <f>IFERROR(IF($C456="","",$D456*INDEX(PRODUCTOS!$D$5:$D$44,MATCH($C456,PRODUCTOS!$B$5:$B$44,0))),"")</f>
        <v/>
      </c>
      <c r="J456" s="30">
        <f>IFERROR(IF($C456="","",$H456-$I456),"")</f>
        <v/>
      </c>
      <c r="K456" s="28" t="n"/>
      <c r="L456" s="28" t="n"/>
    </row>
    <row r="457">
      <c r="A457" s="26" t="n"/>
      <c r="B457" s="27">
        <f>IF($A457="","",TEXT($A457,"YYYY-MM"))</f>
        <v/>
      </c>
      <c r="C457" s="28" t="n"/>
      <c r="D457" s="29" t="n"/>
      <c r="E457" s="17">
        <f>IFERROR(IF($C457="","",INDEX(PRODUCTOS!$E$5:$E$44,MATCH($C457,PRODUCTOS!$B$5:$B$44,0))),"")</f>
        <v/>
      </c>
      <c r="F457" s="17">
        <f>IFERROR(IF($C457="","",$D457*$E457),"")</f>
        <v/>
      </c>
      <c r="G457" s="17">
        <f>IFERROR(IF($C457="","",$F457-$H457),"")</f>
        <v/>
      </c>
      <c r="H457" s="17">
        <f>IFERROR(IF($C457="","",$F457/(1+INICIO!$C$5)),"")</f>
        <v/>
      </c>
      <c r="I457" s="17">
        <f>IFERROR(IF($C457="","",$D457*INDEX(PRODUCTOS!$D$5:$D$44,MATCH($C457,PRODUCTOS!$B$5:$B$44,0))),"")</f>
        <v/>
      </c>
      <c r="J457" s="30">
        <f>IFERROR(IF($C457="","",$H457-$I457),"")</f>
        <v/>
      </c>
      <c r="K457" s="28" t="n"/>
      <c r="L457" s="28" t="n"/>
    </row>
    <row r="458">
      <c r="A458" s="26" t="n"/>
      <c r="B458" s="27">
        <f>IF($A458="","",TEXT($A458,"YYYY-MM"))</f>
        <v/>
      </c>
      <c r="C458" s="28" t="n"/>
      <c r="D458" s="29" t="n"/>
      <c r="E458" s="17">
        <f>IFERROR(IF($C458="","",INDEX(PRODUCTOS!$E$5:$E$44,MATCH($C458,PRODUCTOS!$B$5:$B$44,0))),"")</f>
        <v/>
      </c>
      <c r="F458" s="17">
        <f>IFERROR(IF($C458="","",$D458*$E458),"")</f>
        <v/>
      </c>
      <c r="G458" s="17">
        <f>IFERROR(IF($C458="","",$F458-$H458),"")</f>
        <v/>
      </c>
      <c r="H458" s="17">
        <f>IFERROR(IF($C458="","",$F458/(1+INICIO!$C$5)),"")</f>
        <v/>
      </c>
      <c r="I458" s="17">
        <f>IFERROR(IF($C458="","",$D458*INDEX(PRODUCTOS!$D$5:$D$44,MATCH($C458,PRODUCTOS!$B$5:$B$44,0))),"")</f>
        <v/>
      </c>
      <c r="J458" s="30">
        <f>IFERROR(IF($C458="","",$H458-$I458),"")</f>
        <v/>
      </c>
      <c r="K458" s="28" t="n"/>
      <c r="L458" s="28" t="n"/>
    </row>
    <row r="459">
      <c r="A459" s="26" t="n"/>
      <c r="B459" s="27">
        <f>IF($A459="","",TEXT($A459,"YYYY-MM"))</f>
        <v/>
      </c>
      <c r="C459" s="28" t="n"/>
      <c r="D459" s="29" t="n"/>
      <c r="E459" s="17">
        <f>IFERROR(IF($C459="","",INDEX(PRODUCTOS!$E$5:$E$44,MATCH($C459,PRODUCTOS!$B$5:$B$44,0))),"")</f>
        <v/>
      </c>
      <c r="F459" s="17">
        <f>IFERROR(IF($C459="","",$D459*$E459),"")</f>
        <v/>
      </c>
      <c r="G459" s="17">
        <f>IFERROR(IF($C459="","",$F459-$H459),"")</f>
        <v/>
      </c>
      <c r="H459" s="17">
        <f>IFERROR(IF($C459="","",$F459/(1+INICIO!$C$5)),"")</f>
        <v/>
      </c>
      <c r="I459" s="17">
        <f>IFERROR(IF($C459="","",$D459*INDEX(PRODUCTOS!$D$5:$D$44,MATCH($C459,PRODUCTOS!$B$5:$B$44,0))),"")</f>
        <v/>
      </c>
      <c r="J459" s="30">
        <f>IFERROR(IF($C459="","",$H459-$I459),"")</f>
        <v/>
      </c>
      <c r="K459" s="28" t="n"/>
      <c r="L459" s="28" t="n"/>
    </row>
    <row r="460">
      <c r="A460" s="26" t="n"/>
      <c r="B460" s="27">
        <f>IF($A460="","",TEXT($A460,"YYYY-MM"))</f>
        <v/>
      </c>
      <c r="C460" s="28" t="n"/>
      <c r="D460" s="29" t="n"/>
      <c r="E460" s="17">
        <f>IFERROR(IF($C460="","",INDEX(PRODUCTOS!$E$5:$E$44,MATCH($C460,PRODUCTOS!$B$5:$B$44,0))),"")</f>
        <v/>
      </c>
      <c r="F460" s="17">
        <f>IFERROR(IF($C460="","",$D460*$E460),"")</f>
        <v/>
      </c>
      <c r="G460" s="17">
        <f>IFERROR(IF($C460="","",$F460-$H460),"")</f>
        <v/>
      </c>
      <c r="H460" s="17">
        <f>IFERROR(IF($C460="","",$F460/(1+INICIO!$C$5)),"")</f>
        <v/>
      </c>
      <c r="I460" s="17">
        <f>IFERROR(IF($C460="","",$D460*INDEX(PRODUCTOS!$D$5:$D$44,MATCH($C460,PRODUCTOS!$B$5:$B$44,0))),"")</f>
        <v/>
      </c>
      <c r="J460" s="30">
        <f>IFERROR(IF($C460="","",$H460-$I460),"")</f>
        <v/>
      </c>
      <c r="K460" s="28" t="n"/>
      <c r="L460" s="28" t="n"/>
    </row>
    <row r="461">
      <c r="A461" s="26" t="n"/>
      <c r="B461" s="27">
        <f>IF($A461="","",TEXT($A461,"YYYY-MM"))</f>
        <v/>
      </c>
      <c r="C461" s="28" t="n"/>
      <c r="D461" s="29" t="n"/>
      <c r="E461" s="17">
        <f>IFERROR(IF($C461="","",INDEX(PRODUCTOS!$E$5:$E$44,MATCH($C461,PRODUCTOS!$B$5:$B$44,0))),"")</f>
        <v/>
      </c>
      <c r="F461" s="17">
        <f>IFERROR(IF($C461="","",$D461*$E461),"")</f>
        <v/>
      </c>
      <c r="G461" s="17">
        <f>IFERROR(IF($C461="","",$F461-$H461),"")</f>
        <v/>
      </c>
      <c r="H461" s="17">
        <f>IFERROR(IF($C461="","",$F461/(1+INICIO!$C$5)),"")</f>
        <v/>
      </c>
      <c r="I461" s="17">
        <f>IFERROR(IF($C461="","",$D461*INDEX(PRODUCTOS!$D$5:$D$44,MATCH($C461,PRODUCTOS!$B$5:$B$44,0))),"")</f>
        <v/>
      </c>
      <c r="J461" s="30">
        <f>IFERROR(IF($C461="","",$H461-$I461),"")</f>
        <v/>
      </c>
      <c r="K461" s="28" t="n"/>
      <c r="L461" s="28" t="n"/>
    </row>
    <row r="462">
      <c r="A462" s="26" t="n"/>
      <c r="B462" s="27">
        <f>IF($A462="","",TEXT($A462,"YYYY-MM"))</f>
        <v/>
      </c>
      <c r="C462" s="28" t="n"/>
      <c r="D462" s="29" t="n"/>
      <c r="E462" s="17">
        <f>IFERROR(IF($C462="","",INDEX(PRODUCTOS!$E$5:$E$44,MATCH($C462,PRODUCTOS!$B$5:$B$44,0))),"")</f>
        <v/>
      </c>
      <c r="F462" s="17">
        <f>IFERROR(IF($C462="","",$D462*$E462),"")</f>
        <v/>
      </c>
      <c r="G462" s="17">
        <f>IFERROR(IF($C462="","",$F462-$H462),"")</f>
        <v/>
      </c>
      <c r="H462" s="17">
        <f>IFERROR(IF($C462="","",$F462/(1+INICIO!$C$5)),"")</f>
        <v/>
      </c>
      <c r="I462" s="17">
        <f>IFERROR(IF($C462="","",$D462*INDEX(PRODUCTOS!$D$5:$D$44,MATCH($C462,PRODUCTOS!$B$5:$B$44,0))),"")</f>
        <v/>
      </c>
      <c r="J462" s="30">
        <f>IFERROR(IF($C462="","",$H462-$I462),"")</f>
        <v/>
      </c>
      <c r="K462" s="28" t="n"/>
      <c r="L462" s="28" t="n"/>
    </row>
    <row r="463">
      <c r="A463" s="26" t="n"/>
      <c r="B463" s="27">
        <f>IF($A463="","",TEXT($A463,"YYYY-MM"))</f>
        <v/>
      </c>
      <c r="C463" s="28" t="n"/>
      <c r="D463" s="29" t="n"/>
      <c r="E463" s="17">
        <f>IFERROR(IF($C463="","",INDEX(PRODUCTOS!$E$5:$E$44,MATCH($C463,PRODUCTOS!$B$5:$B$44,0))),"")</f>
        <v/>
      </c>
      <c r="F463" s="17">
        <f>IFERROR(IF($C463="","",$D463*$E463),"")</f>
        <v/>
      </c>
      <c r="G463" s="17">
        <f>IFERROR(IF($C463="","",$F463-$H463),"")</f>
        <v/>
      </c>
      <c r="H463" s="17">
        <f>IFERROR(IF($C463="","",$F463/(1+INICIO!$C$5)),"")</f>
        <v/>
      </c>
      <c r="I463" s="17">
        <f>IFERROR(IF($C463="","",$D463*INDEX(PRODUCTOS!$D$5:$D$44,MATCH($C463,PRODUCTOS!$B$5:$B$44,0))),"")</f>
        <v/>
      </c>
      <c r="J463" s="30">
        <f>IFERROR(IF($C463="","",$H463-$I463),"")</f>
        <v/>
      </c>
      <c r="K463" s="28" t="n"/>
      <c r="L463" s="28" t="n"/>
    </row>
    <row r="464">
      <c r="A464" s="26" t="n"/>
      <c r="B464" s="27">
        <f>IF($A464="","",TEXT($A464,"YYYY-MM"))</f>
        <v/>
      </c>
      <c r="C464" s="28" t="n"/>
      <c r="D464" s="29" t="n"/>
      <c r="E464" s="17">
        <f>IFERROR(IF($C464="","",INDEX(PRODUCTOS!$E$5:$E$44,MATCH($C464,PRODUCTOS!$B$5:$B$44,0))),"")</f>
        <v/>
      </c>
      <c r="F464" s="17">
        <f>IFERROR(IF($C464="","",$D464*$E464),"")</f>
        <v/>
      </c>
      <c r="G464" s="17">
        <f>IFERROR(IF($C464="","",$F464-$H464),"")</f>
        <v/>
      </c>
      <c r="H464" s="17">
        <f>IFERROR(IF($C464="","",$F464/(1+INICIO!$C$5)),"")</f>
        <v/>
      </c>
      <c r="I464" s="17">
        <f>IFERROR(IF($C464="","",$D464*INDEX(PRODUCTOS!$D$5:$D$44,MATCH($C464,PRODUCTOS!$B$5:$B$44,0))),"")</f>
        <v/>
      </c>
      <c r="J464" s="30">
        <f>IFERROR(IF($C464="","",$H464-$I464),"")</f>
        <v/>
      </c>
      <c r="K464" s="28" t="n"/>
      <c r="L464" s="28" t="n"/>
    </row>
    <row r="465">
      <c r="A465" s="26" t="n"/>
      <c r="B465" s="27">
        <f>IF($A465="","",TEXT($A465,"YYYY-MM"))</f>
        <v/>
      </c>
      <c r="C465" s="28" t="n"/>
      <c r="D465" s="29" t="n"/>
      <c r="E465" s="17">
        <f>IFERROR(IF($C465="","",INDEX(PRODUCTOS!$E$5:$E$44,MATCH($C465,PRODUCTOS!$B$5:$B$44,0))),"")</f>
        <v/>
      </c>
      <c r="F465" s="17">
        <f>IFERROR(IF($C465="","",$D465*$E465),"")</f>
        <v/>
      </c>
      <c r="G465" s="17">
        <f>IFERROR(IF($C465="","",$F465-$H465),"")</f>
        <v/>
      </c>
      <c r="H465" s="17">
        <f>IFERROR(IF($C465="","",$F465/(1+INICIO!$C$5)),"")</f>
        <v/>
      </c>
      <c r="I465" s="17">
        <f>IFERROR(IF($C465="","",$D465*INDEX(PRODUCTOS!$D$5:$D$44,MATCH($C465,PRODUCTOS!$B$5:$B$44,0))),"")</f>
        <v/>
      </c>
      <c r="J465" s="30">
        <f>IFERROR(IF($C465="","",$H465-$I465),"")</f>
        <v/>
      </c>
      <c r="K465" s="28" t="n"/>
      <c r="L465" s="28" t="n"/>
    </row>
    <row r="466">
      <c r="A466" s="26" t="n"/>
      <c r="B466" s="27">
        <f>IF($A466="","",TEXT($A466,"YYYY-MM"))</f>
        <v/>
      </c>
      <c r="C466" s="28" t="n"/>
      <c r="D466" s="29" t="n"/>
      <c r="E466" s="17">
        <f>IFERROR(IF($C466="","",INDEX(PRODUCTOS!$E$5:$E$44,MATCH($C466,PRODUCTOS!$B$5:$B$44,0))),"")</f>
        <v/>
      </c>
      <c r="F466" s="17">
        <f>IFERROR(IF($C466="","",$D466*$E466),"")</f>
        <v/>
      </c>
      <c r="G466" s="17">
        <f>IFERROR(IF($C466="","",$F466-$H466),"")</f>
        <v/>
      </c>
      <c r="H466" s="17">
        <f>IFERROR(IF($C466="","",$F466/(1+INICIO!$C$5)),"")</f>
        <v/>
      </c>
      <c r="I466" s="17">
        <f>IFERROR(IF($C466="","",$D466*INDEX(PRODUCTOS!$D$5:$D$44,MATCH($C466,PRODUCTOS!$B$5:$B$44,0))),"")</f>
        <v/>
      </c>
      <c r="J466" s="30">
        <f>IFERROR(IF($C466="","",$H466-$I466),"")</f>
        <v/>
      </c>
      <c r="K466" s="28" t="n"/>
      <c r="L466" s="28" t="n"/>
    </row>
    <row r="467">
      <c r="A467" s="26" t="n"/>
      <c r="B467" s="27">
        <f>IF($A467="","",TEXT($A467,"YYYY-MM"))</f>
        <v/>
      </c>
      <c r="C467" s="28" t="n"/>
      <c r="D467" s="29" t="n"/>
      <c r="E467" s="17">
        <f>IFERROR(IF($C467="","",INDEX(PRODUCTOS!$E$5:$E$44,MATCH($C467,PRODUCTOS!$B$5:$B$44,0))),"")</f>
        <v/>
      </c>
      <c r="F467" s="17">
        <f>IFERROR(IF($C467="","",$D467*$E467),"")</f>
        <v/>
      </c>
      <c r="G467" s="17">
        <f>IFERROR(IF($C467="","",$F467-$H467),"")</f>
        <v/>
      </c>
      <c r="H467" s="17">
        <f>IFERROR(IF($C467="","",$F467/(1+INICIO!$C$5)),"")</f>
        <v/>
      </c>
      <c r="I467" s="17">
        <f>IFERROR(IF($C467="","",$D467*INDEX(PRODUCTOS!$D$5:$D$44,MATCH($C467,PRODUCTOS!$B$5:$B$44,0))),"")</f>
        <v/>
      </c>
      <c r="J467" s="30">
        <f>IFERROR(IF($C467="","",$H467-$I467),"")</f>
        <v/>
      </c>
      <c r="K467" s="28" t="n"/>
      <c r="L467" s="28" t="n"/>
    </row>
    <row r="468">
      <c r="A468" s="26" t="n"/>
      <c r="B468" s="27">
        <f>IF($A468="","",TEXT($A468,"YYYY-MM"))</f>
        <v/>
      </c>
      <c r="C468" s="28" t="n"/>
      <c r="D468" s="29" t="n"/>
      <c r="E468" s="17">
        <f>IFERROR(IF($C468="","",INDEX(PRODUCTOS!$E$5:$E$44,MATCH($C468,PRODUCTOS!$B$5:$B$44,0))),"")</f>
        <v/>
      </c>
      <c r="F468" s="17">
        <f>IFERROR(IF($C468="","",$D468*$E468),"")</f>
        <v/>
      </c>
      <c r="G468" s="17">
        <f>IFERROR(IF($C468="","",$F468-$H468),"")</f>
        <v/>
      </c>
      <c r="H468" s="17">
        <f>IFERROR(IF($C468="","",$F468/(1+INICIO!$C$5)),"")</f>
        <v/>
      </c>
      <c r="I468" s="17">
        <f>IFERROR(IF($C468="","",$D468*INDEX(PRODUCTOS!$D$5:$D$44,MATCH($C468,PRODUCTOS!$B$5:$B$44,0))),"")</f>
        <v/>
      </c>
      <c r="J468" s="30">
        <f>IFERROR(IF($C468="","",$H468-$I468),"")</f>
        <v/>
      </c>
      <c r="K468" s="28" t="n"/>
      <c r="L468" s="28" t="n"/>
    </row>
    <row r="469">
      <c r="A469" s="26" t="n"/>
      <c r="B469" s="27">
        <f>IF($A469="","",TEXT($A469,"YYYY-MM"))</f>
        <v/>
      </c>
      <c r="C469" s="28" t="n"/>
      <c r="D469" s="29" t="n"/>
      <c r="E469" s="17">
        <f>IFERROR(IF($C469="","",INDEX(PRODUCTOS!$E$5:$E$44,MATCH($C469,PRODUCTOS!$B$5:$B$44,0))),"")</f>
        <v/>
      </c>
      <c r="F469" s="17">
        <f>IFERROR(IF($C469="","",$D469*$E469),"")</f>
        <v/>
      </c>
      <c r="G469" s="17">
        <f>IFERROR(IF($C469="","",$F469-$H469),"")</f>
        <v/>
      </c>
      <c r="H469" s="17">
        <f>IFERROR(IF($C469="","",$F469/(1+INICIO!$C$5)),"")</f>
        <v/>
      </c>
      <c r="I469" s="17">
        <f>IFERROR(IF($C469="","",$D469*INDEX(PRODUCTOS!$D$5:$D$44,MATCH($C469,PRODUCTOS!$B$5:$B$44,0))),"")</f>
        <v/>
      </c>
      <c r="J469" s="30">
        <f>IFERROR(IF($C469="","",$H469-$I469),"")</f>
        <v/>
      </c>
      <c r="K469" s="28" t="n"/>
      <c r="L469" s="28" t="n"/>
    </row>
    <row r="470">
      <c r="A470" s="26" t="n"/>
      <c r="B470" s="27">
        <f>IF($A470="","",TEXT($A470,"YYYY-MM"))</f>
        <v/>
      </c>
      <c r="C470" s="28" t="n"/>
      <c r="D470" s="29" t="n"/>
      <c r="E470" s="17">
        <f>IFERROR(IF($C470="","",INDEX(PRODUCTOS!$E$5:$E$44,MATCH($C470,PRODUCTOS!$B$5:$B$44,0))),"")</f>
        <v/>
      </c>
      <c r="F470" s="17">
        <f>IFERROR(IF($C470="","",$D470*$E470),"")</f>
        <v/>
      </c>
      <c r="G470" s="17">
        <f>IFERROR(IF($C470="","",$F470-$H470),"")</f>
        <v/>
      </c>
      <c r="H470" s="17">
        <f>IFERROR(IF($C470="","",$F470/(1+INICIO!$C$5)),"")</f>
        <v/>
      </c>
      <c r="I470" s="17">
        <f>IFERROR(IF($C470="","",$D470*INDEX(PRODUCTOS!$D$5:$D$44,MATCH($C470,PRODUCTOS!$B$5:$B$44,0))),"")</f>
        <v/>
      </c>
      <c r="J470" s="30">
        <f>IFERROR(IF($C470="","",$H470-$I470),"")</f>
        <v/>
      </c>
      <c r="K470" s="28" t="n"/>
      <c r="L470" s="28" t="n"/>
    </row>
    <row r="471">
      <c r="A471" s="26" t="n"/>
      <c r="B471" s="27">
        <f>IF($A471="","",TEXT($A471,"YYYY-MM"))</f>
        <v/>
      </c>
      <c r="C471" s="28" t="n"/>
      <c r="D471" s="29" t="n"/>
      <c r="E471" s="17">
        <f>IFERROR(IF($C471="","",INDEX(PRODUCTOS!$E$5:$E$44,MATCH($C471,PRODUCTOS!$B$5:$B$44,0))),"")</f>
        <v/>
      </c>
      <c r="F471" s="17">
        <f>IFERROR(IF($C471="","",$D471*$E471),"")</f>
        <v/>
      </c>
      <c r="G471" s="17">
        <f>IFERROR(IF($C471="","",$F471-$H471),"")</f>
        <v/>
      </c>
      <c r="H471" s="17">
        <f>IFERROR(IF($C471="","",$F471/(1+INICIO!$C$5)),"")</f>
        <v/>
      </c>
      <c r="I471" s="17">
        <f>IFERROR(IF($C471="","",$D471*INDEX(PRODUCTOS!$D$5:$D$44,MATCH($C471,PRODUCTOS!$B$5:$B$44,0))),"")</f>
        <v/>
      </c>
      <c r="J471" s="30">
        <f>IFERROR(IF($C471="","",$H471-$I471),"")</f>
        <v/>
      </c>
      <c r="K471" s="28" t="n"/>
      <c r="L471" s="28" t="n"/>
    </row>
    <row r="472">
      <c r="A472" s="26" t="n"/>
      <c r="B472" s="27">
        <f>IF($A472="","",TEXT($A472,"YYYY-MM"))</f>
        <v/>
      </c>
      <c r="C472" s="28" t="n"/>
      <c r="D472" s="29" t="n"/>
      <c r="E472" s="17">
        <f>IFERROR(IF($C472="","",INDEX(PRODUCTOS!$E$5:$E$44,MATCH($C472,PRODUCTOS!$B$5:$B$44,0))),"")</f>
        <v/>
      </c>
      <c r="F472" s="17">
        <f>IFERROR(IF($C472="","",$D472*$E472),"")</f>
        <v/>
      </c>
      <c r="G472" s="17">
        <f>IFERROR(IF($C472="","",$F472-$H472),"")</f>
        <v/>
      </c>
      <c r="H472" s="17">
        <f>IFERROR(IF($C472="","",$F472/(1+INICIO!$C$5)),"")</f>
        <v/>
      </c>
      <c r="I472" s="17">
        <f>IFERROR(IF($C472="","",$D472*INDEX(PRODUCTOS!$D$5:$D$44,MATCH($C472,PRODUCTOS!$B$5:$B$44,0))),"")</f>
        <v/>
      </c>
      <c r="J472" s="30">
        <f>IFERROR(IF($C472="","",$H472-$I472),"")</f>
        <v/>
      </c>
      <c r="K472" s="28" t="n"/>
      <c r="L472" s="28" t="n"/>
    </row>
    <row r="473">
      <c r="A473" s="26" t="n"/>
      <c r="B473" s="27">
        <f>IF($A473="","",TEXT($A473,"YYYY-MM"))</f>
        <v/>
      </c>
      <c r="C473" s="28" t="n"/>
      <c r="D473" s="29" t="n"/>
      <c r="E473" s="17">
        <f>IFERROR(IF($C473="","",INDEX(PRODUCTOS!$E$5:$E$44,MATCH($C473,PRODUCTOS!$B$5:$B$44,0))),"")</f>
        <v/>
      </c>
      <c r="F473" s="17">
        <f>IFERROR(IF($C473="","",$D473*$E473),"")</f>
        <v/>
      </c>
      <c r="G473" s="17">
        <f>IFERROR(IF($C473="","",$F473-$H473),"")</f>
        <v/>
      </c>
      <c r="H473" s="17">
        <f>IFERROR(IF($C473="","",$F473/(1+INICIO!$C$5)),"")</f>
        <v/>
      </c>
      <c r="I473" s="17">
        <f>IFERROR(IF($C473="","",$D473*INDEX(PRODUCTOS!$D$5:$D$44,MATCH($C473,PRODUCTOS!$B$5:$B$44,0))),"")</f>
        <v/>
      </c>
      <c r="J473" s="30">
        <f>IFERROR(IF($C473="","",$H473-$I473),"")</f>
        <v/>
      </c>
      <c r="K473" s="28" t="n"/>
      <c r="L473" s="28" t="n"/>
    </row>
    <row r="474">
      <c r="A474" s="26" t="n"/>
      <c r="B474" s="27">
        <f>IF($A474="","",TEXT($A474,"YYYY-MM"))</f>
        <v/>
      </c>
      <c r="C474" s="28" t="n"/>
      <c r="D474" s="29" t="n"/>
      <c r="E474" s="17">
        <f>IFERROR(IF($C474="","",INDEX(PRODUCTOS!$E$5:$E$44,MATCH($C474,PRODUCTOS!$B$5:$B$44,0))),"")</f>
        <v/>
      </c>
      <c r="F474" s="17">
        <f>IFERROR(IF($C474="","",$D474*$E474),"")</f>
        <v/>
      </c>
      <c r="G474" s="17">
        <f>IFERROR(IF($C474="","",$F474-$H474),"")</f>
        <v/>
      </c>
      <c r="H474" s="17">
        <f>IFERROR(IF($C474="","",$F474/(1+INICIO!$C$5)),"")</f>
        <v/>
      </c>
      <c r="I474" s="17">
        <f>IFERROR(IF($C474="","",$D474*INDEX(PRODUCTOS!$D$5:$D$44,MATCH($C474,PRODUCTOS!$B$5:$B$44,0))),"")</f>
        <v/>
      </c>
      <c r="J474" s="30">
        <f>IFERROR(IF($C474="","",$H474-$I474),"")</f>
        <v/>
      </c>
      <c r="K474" s="28" t="n"/>
      <c r="L474" s="28" t="n"/>
    </row>
    <row r="475">
      <c r="A475" s="26" t="n"/>
      <c r="B475" s="27">
        <f>IF($A475="","",TEXT($A475,"YYYY-MM"))</f>
        <v/>
      </c>
      <c r="C475" s="28" t="n"/>
      <c r="D475" s="29" t="n"/>
      <c r="E475" s="17">
        <f>IFERROR(IF($C475="","",INDEX(PRODUCTOS!$E$5:$E$44,MATCH($C475,PRODUCTOS!$B$5:$B$44,0))),"")</f>
        <v/>
      </c>
      <c r="F475" s="17">
        <f>IFERROR(IF($C475="","",$D475*$E475),"")</f>
        <v/>
      </c>
      <c r="G475" s="17">
        <f>IFERROR(IF($C475="","",$F475-$H475),"")</f>
        <v/>
      </c>
      <c r="H475" s="17">
        <f>IFERROR(IF($C475="","",$F475/(1+INICIO!$C$5)),"")</f>
        <v/>
      </c>
      <c r="I475" s="17">
        <f>IFERROR(IF($C475="","",$D475*INDEX(PRODUCTOS!$D$5:$D$44,MATCH($C475,PRODUCTOS!$B$5:$B$44,0))),"")</f>
        <v/>
      </c>
      <c r="J475" s="30">
        <f>IFERROR(IF($C475="","",$H475-$I475),"")</f>
        <v/>
      </c>
      <c r="K475" s="28" t="n"/>
      <c r="L475" s="28" t="n"/>
    </row>
    <row r="476">
      <c r="A476" s="26" t="n"/>
      <c r="B476" s="27">
        <f>IF($A476="","",TEXT($A476,"YYYY-MM"))</f>
        <v/>
      </c>
      <c r="C476" s="28" t="n"/>
      <c r="D476" s="29" t="n"/>
      <c r="E476" s="17">
        <f>IFERROR(IF($C476="","",INDEX(PRODUCTOS!$E$5:$E$44,MATCH($C476,PRODUCTOS!$B$5:$B$44,0))),"")</f>
        <v/>
      </c>
      <c r="F476" s="17">
        <f>IFERROR(IF($C476="","",$D476*$E476),"")</f>
        <v/>
      </c>
      <c r="G476" s="17">
        <f>IFERROR(IF($C476="","",$F476-$H476),"")</f>
        <v/>
      </c>
      <c r="H476" s="17">
        <f>IFERROR(IF($C476="","",$F476/(1+INICIO!$C$5)),"")</f>
        <v/>
      </c>
      <c r="I476" s="17">
        <f>IFERROR(IF($C476="","",$D476*INDEX(PRODUCTOS!$D$5:$D$44,MATCH($C476,PRODUCTOS!$B$5:$B$44,0))),"")</f>
        <v/>
      </c>
      <c r="J476" s="30">
        <f>IFERROR(IF($C476="","",$H476-$I476),"")</f>
        <v/>
      </c>
      <c r="K476" s="28" t="n"/>
      <c r="L476" s="28" t="n"/>
    </row>
    <row r="477">
      <c r="A477" s="26" t="n"/>
      <c r="B477" s="27">
        <f>IF($A477="","",TEXT($A477,"YYYY-MM"))</f>
        <v/>
      </c>
      <c r="C477" s="28" t="n"/>
      <c r="D477" s="29" t="n"/>
      <c r="E477" s="17">
        <f>IFERROR(IF($C477="","",INDEX(PRODUCTOS!$E$5:$E$44,MATCH($C477,PRODUCTOS!$B$5:$B$44,0))),"")</f>
        <v/>
      </c>
      <c r="F477" s="17">
        <f>IFERROR(IF($C477="","",$D477*$E477),"")</f>
        <v/>
      </c>
      <c r="G477" s="17">
        <f>IFERROR(IF($C477="","",$F477-$H477),"")</f>
        <v/>
      </c>
      <c r="H477" s="17">
        <f>IFERROR(IF($C477="","",$F477/(1+INICIO!$C$5)),"")</f>
        <v/>
      </c>
      <c r="I477" s="17">
        <f>IFERROR(IF($C477="","",$D477*INDEX(PRODUCTOS!$D$5:$D$44,MATCH($C477,PRODUCTOS!$B$5:$B$44,0))),"")</f>
        <v/>
      </c>
      <c r="J477" s="30">
        <f>IFERROR(IF($C477="","",$H477-$I477),"")</f>
        <v/>
      </c>
      <c r="K477" s="28" t="n"/>
      <c r="L477" s="28" t="n"/>
    </row>
    <row r="478">
      <c r="A478" s="26" t="n"/>
      <c r="B478" s="27">
        <f>IF($A478="","",TEXT($A478,"YYYY-MM"))</f>
        <v/>
      </c>
      <c r="C478" s="28" t="n"/>
      <c r="D478" s="29" t="n"/>
      <c r="E478" s="17">
        <f>IFERROR(IF($C478="","",INDEX(PRODUCTOS!$E$5:$E$44,MATCH($C478,PRODUCTOS!$B$5:$B$44,0))),"")</f>
        <v/>
      </c>
      <c r="F478" s="17">
        <f>IFERROR(IF($C478="","",$D478*$E478),"")</f>
        <v/>
      </c>
      <c r="G478" s="17">
        <f>IFERROR(IF($C478="","",$F478-$H478),"")</f>
        <v/>
      </c>
      <c r="H478" s="17">
        <f>IFERROR(IF($C478="","",$F478/(1+INICIO!$C$5)),"")</f>
        <v/>
      </c>
      <c r="I478" s="17">
        <f>IFERROR(IF($C478="","",$D478*INDEX(PRODUCTOS!$D$5:$D$44,MATCH($C478,PRODUCTOS!$B$5:$B$44,0))),"")</f>
        <v/>
      </c>
      <c r="J478" s="30">
        <f>IFERROR(IF($C478="","",$H478-$I478),"")</f>
        <v/>
      </c>
      <c r="K478" s="28" t="n"/>
      <c r="L478" s="28" t="n"/>
    </row>
    <row r="479">
      <c r="A479" s="26" t="n"/>
      <c r="B479" s="27">
        <f>IF($A479="","",TEXT($A479,"YYYY-MM"))</f>
        <v/>
      </c>
      <c r="C479" s="28" t="n"/>
      <c r="D479" s="29" t="n"/>
      <c r="E479" s="17">
        <f>IFERROR(IF($C479="","",INDEX(PRODUCTOS!$E$5:$E$44,MATCH($C479,PRODUCTOS!$B$5:$B$44,0))),"")</f>
        <v/>
      </c>
      <c r="F479" s="17">
        <f>IFERROR(IF($C479="","",$D479*$E479),"")</f>
        <v/>
      </c>
      <c r="G479" s="17">
        <f>IFERROR(IF($C479="","",$F479-$H479),"")</f>
        <v/>
      </c>
      <c r="H479" s="17">
        <f>IFERROR(IF($C479="","",$F479/(1+INICIO!$C$5)),"")</f>
        <v/>
      </c>
      <c r="I479" s="17">
        <f>IFERROR(IF($C479="","",$D479*INDEX(PRODUCTOS!$D$5:$D$44,MATCH($C479,PRODUCTOS!$B$5:$B$44,0))),"")</f>
        <v/>
      </c>
      <c r="J479" s="30">
        <f>IFERROR(IF($C479="","",$H479-$I479),"")</f>
        <v/>
      </c>
      <c r="K479" s="28" t="n"/>
      <c r="L479" s="28" t="n"/>
    </row>
    <row r="480">
      <c r="A480" s="26" t="n"/>
      <c r="B480" s="27">
        <f>IF($A480="","",TEXT($A480,"YYYY-MM"))</f>
        <v/>
      </c>
      <c r="C480" s="28" t="n"/>
      <c r="D480" s="29" t="n"/>
      <c r="E480" s="17">
        <f>IFERROR(IF($C480="","",INDEX(PRODUCTOS!$E$5:$E$44,MATCH($C480,PRODUCTOS!$B$5:$B$44,0))),"")</f>
        <v/>
      </c>
      <c r="F480" s="17">
        <f>IFERROR(IF($C480="","",$D480*$E480),"")</f>
        <v/>
      </c>
      <c r="G480" s="17">
        <f>IFERROR(IF($C480="","",$F480-$H480),"")</f>
        <v/>
      </c>
      <c r="H480" s="17">
        <f>IFERROR(IF($C480="","",$F480/(1+INICIO!$C$5)),"")</f>
        <v/>
      </c>
      <c r="I480" s="17">
        <f>IFERROR(IF($C480="","",$D480*INDEX(PRODUCTOS!$D$5:$D$44,MATCH($C480,PRODUCTOS!$B$5:$B$44,0))),"")</f>
        <v/>
      </c>
      <c r="J480" s="30">
        <f>IFERROR(IF($C480="","",$H480-$I480),"")</f>
        <v/>
      </c>
      <c r="K480" s="28" t="n"/>
      <c r="L480" s="28" t="n"/>
    </row>
    <row r="481">
      <c r="A481" s="26" t="n"/>
      <c r="B481" s="27">
        <f>IF($A481="","",TEXT($A481,"YYYY-MM"))</f>
        <v/>
      </c>
      <c r="C481" s="28" t="n"/>
      <c r="D481" s="29" t="n"/>
      <c r="E481" s="17">
        <f>IFERROR(IF($C481="","",INDEX(PRODUCTOS!$E$5:$E$44,MATCH($C481,PRODUCTOS!$B$5:$B$44,0))),"")</f>
        <v/>
      </c>
      <c r="F481" s="17">
        <f>IFERROR(IF($C481="","",$D481*$E481),"")</f>
        <v/>
      </c>
      <c r="G481" s="17">
        <f>IFERROR(IF($C481="","",$F481-$H481),"")</f>
        <v/>
      </c>
      <c r="H481" s="17">
        <f>IFERROR(IF($C481="","",$F481/(1+INICIO!$C$5)),"")</f>
        <v/>
      </c>
      <c r="I481" s="17">
        <f>IFERROR(IF($C481="","",$D481*INDEX(PRODUCTOS!$D$5:$D$44,MATCH($C481,PRODUCTOS!$B$5:$B$44,0))),"")</f>
        <v/>
      </c>
      <c r="J481" s="30">
        <f>IFERROR(IF($C481="","",$H481-$I481),"")</f>
        <v/>
      </c>
      <c r="K481" s="28" t="n"/>
      <c r="L481" s="28" t="n"/>
    </row>
    <row r="482">
      <c r="A482" s="26" t="n"/>
      <c r="B482" s="27">
        <f>IF($A482="","",TEXT($A482,"YYYY-MM"))</f>
        <v/>
      </c>
      <c r="C482" s="28" t="n"/>
      <c r="D482" s="29" t="n"/>
      <c r="E482" s="17">
        <f>IFERROR(IF($C482="","",INDEX(PRODUCTOS!$E$5:$E$44,MATCH($C482,PRODUCTOS!$B$5:$B$44,0))),"")</f>
        <v/>
      </c>
      <c r="F482" s="17">
        <f>IFERROR(IF($C482="","",$D482*$E482),"")</f>
        <v/>
      </c>
      <c r="G482" s="17">
        <f>IFERROR(IF($C482="","",$F482-$H482),"")</f>
        <v/>
      </c>
      <c r="H482" s="17">
        <f>IFERROR(IF($C482="","",$F482/(1+INICIO!$C$5)),"")</f>
        <v/>
      </c>
      <c r="I482" s="17">
        <f>IFERROR(IF($C482="","",$D482*INDEX(PRODUCTOS!$D$5:$D$44,MATCH($C482,PRODUCTOS!$B$5:$B$44,0))),"")</f>
        <v/>
      </c>
      <c r="J482" s="30">
        <f>IFERROR(IF($C482="","",$H482-$I482),"")</f>
        <v/>
      </c>
      <c r="K482" s="28" t="n"/>
      <c r="L482" s="28" t="n"/>
    </row>
    <row r="483">
      <c r="A483" s="26" t="n"/>
      <c r="B483" s="27">
        <f>IF($A483="","",TEXT($A483,"YYYY-MM"))</f>
        <v/>
      </c>
      <c r="C483" s="28" t="n"/>
      <c r="D483" s="29" t="n"/>
      <c r="E483" s="17">
        <f>IFERROR(IF($C483="","",INDEX(PRODUCTOS!$E$5:$E$44,MATCH($C483,PRODUCTOS!$B$5:$B$44,0))),"")</f>
        <v/>
      </c>
      <c r="F483" s="17">
        <f>IFERROR(IF($C483="","",$D483*$E483),"")</f>
        <v/>
      </c>
      <c r="G483" s="17">
        <f>IFERROR(IF($C483="","",$F483-$H483),"")</f>
        <v/>
      </c>
      <c r="H483" s="17">
        <f>IFERROR(IF($C483="","",$F483/(1+INICIO!$C$5)),"")</f>
        <v/>
      </c>
      <c r="I483" s="17">
        <f>IFERROR(IF($C483="","",$D483*INDEX(PRODUCTOS!$D$5:$D$44,MATCH($C483,PRODUCTOS!$B$5:$B$44,0))),"")</f>
        <v/>
      </c>
      <c r="J483" s="30">
        <f>IFERROR(IF($C483="","",$H483-$I483),"")</f>
        <v/>
      </c>
      <c r="K483" s="28" t="n"/>
      <c r="L483" s="28" t="n"/>
    </row>
    <row r="484">
      <c r="A484" s="26" t="n"/>
      <c r="B484" s="27">
        <f>IF($A484="","",TEXT($A484,"YYYY-MM"))</f>
        <v/>
      </c>
      <c r="C484" s="28" t="n"/>
      <c r="D484" s="29" t="n"/>
      <c r="E484" s="17">
        <f>IFERROR(IF($C484="","",INDEX(PRODUCTOS!$E$5:$E$44,MATCH($C484,PRODUCTOS!$B$5:$B$44,0))),"")</f>
        <v/>
      </c>
      <c r="F484" s="17">
        <f>IFERROR(IF($C484="","",$D484*$E484),"")</f>
        <v/>
      </c>
      <c r="G484" s="17">
        <f>IFERROR(IF($C484="","",$F484-$H484),"")</f>
        <v/>
      </c>
      <c r="H484" s="17">
        <f>IFERROR(IF($C484="","",$F484/(1+INICIO!$C$5)),"")</f>
        <v/>
      </c>
      <c r="I484" s="17">
        <f>IFERROR(IF($C484="","",$D484*INDEX(PRODUCTOS!$D$5:$D$44,MATCH($C484,PRODUCTOS!$B$5:$B$44,0))),"")</f>
        <v/>
      </c>
      <c r="J484" s="30">
        <f>IFERROR(IF($C484="","",$H484-$I484),"")</f>
        <v/>
      </c>
      <c r="K484" s="28" t="n"/>
      <c r="L484" s="28" t="n"/>
    </row>
    <row r="485">
      <c r="A485" s="26" t="n"/>
      <c r="B485" s="27">
        <f>IF($A485="","",TEXT($A485,"YYYY-MM"))</f>
        <v/>
      </c>
      <c r="C485" s="28" t="n"/>
      <c r="D485" s="29" t="n"/>
      <c r="E485" s="17">
        <f>IFERROR(IF($C485="","",INDEX(PRODUCTOS!$E$5:$E$44,MATCH($C485,PRODUCTOS!$B$5:$B$44,0))),"")</f>
        <v/>
      </c>
      <c r="F485" s="17">
        <f>IFERROR(IF($C485="","",$D485*$E485),"")</f>
        <v/>
      </c>
      <c r="G485" s="17">
        <f>IFERROR(IF($C485="","",$F485-$H485),"")</f>
        <v/>
      </c>
      <c r="H485" s="17">
        <f>IFERROR(IF($C485="","",$F485/(1+INICIO!$C$5)),"")</f>
        <v/>
      </c>
      <c r="I485" s="17">
        <f>IFERROR(IF($C485="","",$D485*INDEX(PRODUCTOS!$D$5:$D$44,MATCH($C485,PRODUCTOS!$B$5:$B$44,0))),"")</f>
        <v/>
      </c>
      <c r="J485" s="30">
        <f>IFERROR(IF($C485="","",$H485-$I485),"")</f>
        <v/>
      </c>
      <c r="K485" s="28" t="n"/>
      <c r="L485" s="28" t="n"/>
    </row>
    <row r="486">
      <c r="A486" s="26" t="n"/>
      <c r="B486" s="27">
        <f>IF($A486="","",TEXT($A486,"YYYY-MM"))</f>
        <v/>
      </c>
      <c r="C486" s="28" t="n"/>
      <c r="D486" s="29" t="n"/>
      <c r="E486" s="17">
        <f>IFERROR(IF($C486="","",INDEX(PRODUCTOS!$E$5:$E$44,MATCH($C486,PRODUCTOS!$B$5:$B$44,0))),"")</f>
        <v/>
      </c>
      <c r="F486" s="17">
        <f>IFERROR(IF($C486="","",$D486*$E486),"")</f>
        <v/>
      </c>
      <c r="G486" s="17">
        <f>IFERROR(IF($C486="","",$F486-$H486),"")</f>
        <v/>
      </c>
      <c r="H486" s="17">
        <f>IFERROR(IF($C486="","",$F486/(1+INICIO!$C$5)),"")</f>
        <v/>
      </c>
      <c r="I486" s="17">
        <f>IFERROR(IF($C486="","",$D486*INDEX(PRODUCTOS!$D$5:$D$44,MATCH($C486,PRODUCTOS!$B$5:$B$44,0))),"")</f>
        <v/>
      </c>
      <c r="J486" s="30">
        <f>IFERROR(IF($C486="","",$H486-$I486),"")</f>
        <v/>
      </c>
      <c r="K486" s="28" t="n"/>
      <c r="L486" s="28" t="n"/>
    </row>
    <row r="487">
      <c r="A487" s="26" t="n"/>
      <c r="B487" s="27">
        <f>IF($A487="","",TEXT($A487,"YYYY-MM"))</f>
        <v/>
      </c>
      <c r="C487" s="28" t="n"/>
      <c r="D487" s="29" t="n"/>
      <c r="E487" s="17">
        <f>IFERROR(IF($C487="","",INDEX(PRODUCTOS!$E$5:$E$44,MATCH($C487,PRODUCTOS!$B$5:$B$44,0))),"")</f>
        <v/>
      </c>
      <c r="F487" s="17">
        <f>IFERROR(IF($C487="","",$D487*$E487),"")</f>
        <v/>
      </c>
      <c r="G487" s="17">
        <f>IFERROR(IF($C487="","",$F487-$H487),"")</f>
        <v/>
      </c>
      <c r="H487" s="17">
        <f>IFERROR(IF($C487="","",$F487/(1+INICIO!$C$5)),"")</f>
        <v/>
      </c>
      <c r="I487" s="17">
        <f>IFERROR(IF($C487="","",$D487*INDEX(PRODUCTOS!$D$5:$D$44,MATCH($C487,PRODUCTOS!$B$5:$B$44,0))),"")</f>
        <v/>
      </c>
      <c r="J487" s="30">
        <f>IFERROR(IF($C487="","",$H487-$I487),"")</f>
        <v/>
      </c>
      <c r="K487" s="28" t="n"/>
      <c r="L487" s="28" t="n"/>
    </row>
    <row r="488">
      <c r="A488" s="26" t="n"/>
      <c r="B488" s="27">
        <f>IF($A488="","",TEXT($A488,"YYYY-MM"))</f>
        <v/>
      </c>
      <c r="C488" s="28" t="n"/>
      <c r="D488" s="29" t="n"/>
      <c r="E488" s="17">
        <f>IFERROR(IF($C488="","",INDEX(PRODUCTOS!$E$5:$E$44,MATCH($C488,PRODUCTOS!$B$5:$B$44,0))),"")</f>
        <v/>
      </c>
      <c r="F488" s="17">
        <f>IFERROR(IF($C488="","",$D488*$E488),"")</f>
        <v/>
      </c>
      <c r="G488" s="17">
        <f>IFERROR(IF($C488="","",$F488-$H488),"")</f>
        <v/>
      </c>
      <c r="H488" s="17">
        <f>IFERROR(IF($C488="","",$F488/(1+INICIO!$C$5)),"")</f>
        <v/>
      </c>
      <c r="I488" s="17">
        <f>IFERROR(IF($C488="","",$D488*INDEX(PRODUCTOS!$D$5:$D$44,MATCH($C488,PRODUCTOS!$B$5:$B$44,0))),"")</f>
        <v/>
      </c>
      <c r="J488" s="30">
        <f>IFERROR(IF($C488="","",$H488-$I488),"")</f>
        <v/>
      </c>
      <c r="K488" s="28" t="n"/>
      <c r="L488" s="28" t="n"/>
    </row>
    <row r="489">
      <c r="A489" s="26" t="n"/>
      <c r="B489" s="27">
        <f>IF($A489="","",TEXT($A489,"YYYY-MM"))</f>
        <v/>
      </c>
      <c r="C489" s="28" t="n"/>
      <c r="D489" s="29" t="n"/>
      <c r="E489" s="17">
        <f>IFERROR(IF($C489="","",INDEX(PRODUCTOS!$E$5:$E$44,MATCH($C489,PRODUCTOS!$B$5:$B$44,0))),"")</f>
        <v/>
      </c>
      <c r="F489" s="17">
        <f>IFERROR(IF($C489="","",$D489*$E489),"")</f>
        <v/>
      </c>
      <c r="G489" s="17">
        <f>IFERROR(IF($C489="","",$F489-$H489),"")</f>
        <v/>
      </c>
      <c r="H489" s="17">
        <f>IFERROR(IF($C489="","",$F489/(1+INICIO!$C$5)),"")</f>
        <v/>
      </c>
      <c r="I489" s="17">
        <f>IFERROR(IF($C489="","",$D489*INDEX(PRODUCTOS!$D$5:$D$44,MATCH($C489,PRODUCTOS!$B$5:$B$44,0))),"")</f>
        <v/>
      </c>
      <c r="J489" s="30">
        <f>IFERROR(IF($C489="","",$H489-$I489),"")</f>
        <v/>
      </c>
      <c r="K489" s="28" t="n"/>
      <c r="L489" s="28" t="n"/>
    </row>
    <row r="490">
      <c r="A490" s="26" t="n"/>
      <c r="B490" s="27">
        <f>IF($A490="","",TEXT($A490,"YYYY-MM"))</f>
        <v/>
      </c>
      <c r="C490" s="28" t="n"/>
      <c r="D490" s="29" t="n"/>
      <c r="E490" s="17">
        <f>IFERROR(IF($C490="","",INDEX(PRODUCTOS!$E$5:$E$44,MATCH($C490,PRODUCTOS!$B$5:$B$44,0))),"")</f>
        <v/>
      </c>
      <c r="F490" s="17">
        <f>IFERROR(IF($C490="","",$D490*$E490),"")</f>
        <v/>
      </c>
      <c r="G490" s="17">
        <f>IFERROR(IF($C490="","",$F490-$H490),"")</f>
        <v/>
      </c>
      <c r="H490" s="17">
        <f>IFERROR(IF($C490="","",$F490/(1+INICIO!$C$5)),"")</f>
        <v/>
      </c>
      <c r="I490" s="17">
        <f>IFERROR(IF($C490="","",$D490*INDEX(PRODUCTOS!$D$5:$D$44,MATCH($C490,PRODUCTOS!$B$5:$B$44,0))),"")</f>
        <v/>
      </c>
      <c r="J490" s="30">
        <f>IFERROR(IF($C490="","",$H490-$I490),"")</f>
        <v/>
      </c>
      <c r="K490" s="28" t="n"/>
      <c r="L490" s="28" t="n"/>
    </row>
    <row r="491">
      <c r="A491" s="26" t="n"/>
      <c r="B491" s="27">
        <f>IF($A491="","",TEXT($A491,"YYYY-MM"))</f>
        <v/>
      </c>
      <c r="C491" s="28" t="n"/>
      <c r="D491" s="29" t="n"/>
      <c r="E491" s="17">
        <f>IFERROR(IF($C491="","",INDEX(PRODUCTOS!$E$5:$E$44,MATCH($C491,PRODUCTOS!$B$5:$B$44,0))),"")</f>
        <v/>
      </c>
      <c r="F491" s="17">
        <f>IFERROR(IF($C491="","",$D491*$E491),"")</f>
        <v/>
      </c>
      <c r="G491" s="17">
        <f>IFERROR(IF($C491="","",$F491-$H491),"")</f>
        <v/>
      </c>
      <c r="H491" s="17">
        <f>IFERROR(IF($C491="","",$F491/(1+INICIO!$C$5)),"")</f>
        <v/>
      </c>
      <c r="I491" s="17">
        <f>IFERROR(IF($C491="","",$D491*INDEX(PRODUCTOS!$D$5:$D$44,MATCH($C491,PRODUCTOS!$B$5:$B$44,0))),"")</f>
        <v/>
      </c>
      <c r="J491" s="30">
        <f>IFERROR(IF($C491="","",$H491-$I491),"")</f>
        <v/>
      </c>
      <c r="K491" s="28" t="n"/>
      <c r="L491" s="28" t="n"/>
    </row>
    <row r="492">
      <c r="A492" s="26" t="n"/>
      <c r="B492" s="27">
        <f>IF($A492="","",TEXT($A492,"YYYY-MM"))</f>
        <v/>
      </c>
      <c r="C492" s="28" t="n"/>
      <c r="D492" s="29" t="n"/>
      <c r="E492" s="17">
        <f>IFERROR(IF($C492="","",INDEX(PRODUCTOS!$E$5:$E$44,MATCH($C492,PRODUCTOS!$B$5:$B$44,0))),"")</f>
        <v/>
      </c>
      <c r="F492" s="17">
        <f>IFERROR(IF($C492="","",$D492*$E492),"")</f>
        <v/>
      </c>
      <c r="G492" s="17">
        <f>IFERROR(IF($C492="","",$F492-$H492),"")</f>
        <v/>
      </c>
      <c r="H492" s="17">
        <f>IFERROR(IF($C492="","",$F492/(1+INICIO!$C$5)),"")</f>
        <v/>
      </c>
      <c r="I492" s="17">
        <f>IFERROR(IF($C492="","",$D492*INDEX(PRODUCTOS!$D$5:$D$44,MATCH($C492,PRODUCTOS!$B$5:$B$44,0))),"")</f>
        <v/>
      </c>
      <c r="J492" s="30">
        <f>IFERROR(IF($C492="","",$H492-$I492),"")</f>
        <v/>
      </c>
      <c r="K492" s="28" t="n"/>
      <c r="L492" s="28" t="n"/>
    </row>
    <row r="493">
      <c r="A493" s="26" t="n"/>
      <c r="B493" s="27">
        <f>IF($A493="","",TEXT($A493,"YYYY-MM"))</f>
        <v/>
      </c>
      <c r="C493" s="28" t="n"/>
      <c r="D493" s="29" t="n"/>
      <c r="E493" s="17">
        <f>IFERROR(IF($C493="","",INDEX(PRODUCTOS!$E$5:$E$44,MATCH($C493,PRODUCTOS!$B$5:$B$44,0))),"")</f>
        <v/>
      </c>
      <c r="F493" s="17">
        <f>IFERROR(IF($C493="","",$D493*$E493),"")</f>
        <v/>
      </c>
      <c r="G493" s="17">
        <f>IFERROR(IF($C493="","",$F493-$H493),"")</f>
        <v/>
      </c>
      <c r="H493" s="17">
        <f>IFERROR(IF($C493="","",$F493/(1+INICIO!$C$5)),"")</f>
        <v/>
      </c>
      <c r="I493" s="17">
        <f>IFERROR(IF($C493="","",$D493*INDEX(PRODUCTOS!$D$5:$D$44,MATCH($C493,PRODUCTOS!$B$5:$B$44,0))),"")</f>
        <v/>
      </c>
      <c r="J493" s="30">
        <f>IFERROR(IF($C493="","",$H493-$I493),"")</f>
        <v/>
      </c>
      <c r="K493" s="28" t="n"/>
      <c r="L493" s="28" t="n"/>
    </row>
    <row r="494">
      <c r="A494" s="26" t="n"/>
      <c r="B494" s="27">
        <f>IF($A494="","",TEXT($A494,"YYYY-MM"))</f>
        <v/>
      </c>
      <c r="C494" s="28" t="n"/>
      <c r="D494" s="29" t="n"/>
      <c r="E494" s="17">
        <f>IFERROR(IF($C494="","",INDEX(PRODUCTOS!$E$5:$E$44,MATCH($C494,PRODUCTOS!$B$5:$B$44,0))),"")</f>
        <v/>
      </c>
      <c r="F494" s="17">
        <f>IFERROR(IF($C494="","",$D494*$E494),"")</f>
        <v/>
      </c>
      <c r="G494" s="17">
        <f>IFERROR(IF($C494="","",$F494-$H494),"")</f>
        <v/>
      </c>
      <c r="H494" s="17">
        <f>IFERROR(IF($C494="","",$F494/(1+INICIO!$C$5)),"")</f>
        <v/>
      </c>
      <c r="I494" s="17">
        <f>IFERROR(IF($C494="","",$D494*INDEX(PRODUCTOS!$D$5:$D$44,MATCH($C494,PRODUCTOS!$B$5:$B$44,0))),"")</f>
        <v/>
      </c>
      <c r="J494" s="30">
        <f>IFERROR(IF($C494="","",$H494-$I494),"")</f>
        <v/>
      </c>
      <c r="K494" s="28" t="n"/>
      <c r="L494" s="28" t="n"/>
    </row>
    <row r="495">
      <c r="A495" s="26" t="n"/>
      <c r="B495" s="27">
        <f>IF($A495="","",TEXT($A495,"YYYY-MM"))</f>
        <v/>
      </c>
      <c r="C495" s="28" t="n"/>
      <c r="D495" s="29" t="n"/>
      <c r="E495" s="17">
        <f>IFERROR(IF($C495="","",INDEX(PRODUCTOS!$E$5:$E$44,MATCH($C495,PRODUCTOS!$B$5:$B$44,0))),"")</f>
        <v/>
      </c>
      <c r="F495" s="17">
        <f>IFERROR(IF($C495="","",$D495*$E495),"")</f>
        <v/>
      </c>
      <c r="G495" s="17">
        <f>IFERROR(IF($C495="","",$F495-$H495),"")</f>
        <v/>
      </c>
      <c r="H495" s="17">
        <f>IFERROR(IF($C495="","",$F495/(1+INICIO!$C$5)),"")</f>
        <v/>
      </c>
      <c r="I495" s="17">
        <f>IFERROR(IF($C495="","",$D495*INDEX(PRODUCTOS!$D$5:$D$44,MATCH($C495,PRODUCTOS!$B$5:$B$44,0))),"")</f>
        <v/>
      </c>
      <c r="J495" s="30">
        <f>IFERROR(IF($C495="","",$H495-$I495),"")</f>
        <v/>
      </c>
      <c r="K495" s="28" t="n"/>
      <c r="L495" s="28" t="n"/>
    </row>
    <row r="496">
      <c r="A496" s="26" t="n"/>
      <c r="B496" s="27">
        <f>IF($A496="","",TEXT($A496,"YYYY-MM"))</f>
        <v/>
      </c>
      <c r="C496" s="28" t="n"/>
      <c r="D496" s="29" t="n"/>
      <c r="E496" s="17">
        <f>IFERROR(IF($C496="","",INDEX(PRODUCTOS!$E$5:$E$44,MATCH($C496,PRODUCTOS!$B$5:$B$44,0))),"")</f>
        <v/>
      </c>
      <c r="F496" s="17">
        <f>IFERROR(IF($C496="","",$D496*$E496),"")</f>
        <v/>
      </c>
      <c r="G496" s="17">
        <f>IFERROR(IF($C496="","",$F496-$H496),"")</f>
        <v/>
      </c>
      <c r="H496" s="17">
        <f>IFERROR(IF($C496="","",$F496/(1+INICIO!$C$5)),"")</f>
        <v/>
      </c>
      <c r="I496" s="17">
        <f>IFERROR(IF($C496="","",$D496*INDEX(PRODUCTOS!$D$5:$D$44,MATCH($C496,PRODUCTOS!$B$5:$B$44,0))),"")</f>
        <v/>
      </c>
      <c r="J496" s="30">
        <f>IFERROR(IF($C496="","",$H496-$I496),"")</f>
        <v/>
      </c>
      <c r="K496" s="28" t="n"/>
      <c r="L496" s="28" t="n"/>
    </row>
    <row r="497">
      <c r="A497" s="26" t="n"/>
      <c r="B497" s="27">
        <f>IF($A497="","",TEXT($A497,"YYYY-MM"))</f>
        <v/>
      </c>
      <c r="C497" s="28" t="n"/>
      <c r="D497" s="29" t="n"/>
      <c r="E497" s="17">
        <f>IFERROR(IF($C497="","",INDEX(PRODUCTOS!$E$5:$E$44,MATCH($C497,PRODUCTOS!$B$5:$B$44,0))),"")</f>
        <v/>
      </c>
      <c r="F497" s="17">
        <f>IFERROR(IF($C497="","",$D497*$E497),"")</f>
        <v/>
      </c>
      <c r="G497" s="17">
        <f>IFERROR(IF($C497="","",$F497-$H497),"")</f>
        <v/>
      </c>
      <c r="H497" s="17">
        <f>IFERROR(IF($C497="","",$F497/(1+INICIO!$C$5)),"")</f>
        <v/>
      </c>
      <c r="I497" s="17">
        <f>IFERROR(IF($C497="","",$D497*INDEX(PRODUCTOS!$D$5:$D$44,MATCH($C497,PRODUCTOS!$B$5:$B$44,0))),"")</f>
        <v/>
      </c>
      <c r="J497" s="30">
        <f>IFERROR(IF($C497="","",$H497-$I497),"")</f>
        <v/>
      </c>
      <c r="K497" s="28" t="n"/>
      <c r="L497" s="28" t="n"/>
    </row>
    <row r="498">
      <c r="A498" s="26" t="n"/>
      <c r="B498" s="27">
        <f>IF($A498="","",TEXT($A498,"YYYY-MM"))</f>
        <v/>
      </c>
      <c r="C498" s="28" t="n"/>
      <c r="D498" s="29" t="n"/>
      <c r="E498" s="17">
        <f>IFERROR(IF($C498="","",INDEX(PRODUCTOS!$E$5:$E$44,MATCH($C498,PRODUCTOS!$B$5:$B$44,0))),"")</f>
        <v/>
      </c>
      <c r="F498" s="17">
        <f>IFERROR(IF($C498="","",$D498*$E498),"")</f>
        <v/>
      </c>
      <c r="G498" s="17">
        <f>IFERROR(IF($C498="","",$F498-$H498),"")</f>
        <v/>
      </c>
      <c r="H498" s="17">
        <f>IFERROR(IF($C498="","",$F498/(1+INICIO!$C$5)),"")</f>
        <v/>
      </c>
      <c r="I498" s="17">
        <f>IFERROR(IF($C498="","",$D498*INDEX(PRODUCTOS!$D$5:$D$44,MATCH($C498,PRODUCTOS!$B$5:$B$44,0))),"")</f>
        <v/>
      </c>
      <c r="J498" s="30">
        <f>IFERROR(IF($C498="","",$H498-$I498),"")</f>
        <v/>
      </c>
      <c r="K498" s="28" t="n"/>
      <c r="L498" s="28" t="n"/>
    </row>
    <row r="499">
      <c r="A499" s="26" t="n"/>
      <c r="B499" s="27">
        <f>IF($A499="","",TEXT($A499,"YYYY-MM"))</f>
        <v/>
      </c>
      <c r="C499" s="28" t="n"/>
      <c r="D499" s="29" t="n"/>
      <c r="E499" s="17">
        <f>IFERROR(IF($C499="","",INDEX(PRODUCTOS!$E$5:$E$44,MATCH($C499,PRODUCTOS!$B$5:$B$44,0))),"")</f>
        <v/>
      </c>
      <c r="F499" s="17">
        <f>IFERROR(IF($C499="","",$D499*$E499),"")</f>
        <v/>
      </c>
      <c r="G499" s="17">
        <f>IFERROR(IF($C499="","",$F499-$H499),"")</f>
        <v/>
      </c>
      <c r="H499" s="17">
        <f>IFERROR(IF($C499="","",$F499/(1+INICIO!$C$5)),"")</f>
        <v/>
      </c>
      <c r="I499" s="17">
        <f>IFERROR(IF($C499="","",$D499*INDEX(PRODUCTOS!$D$5:$D$44,MATCH($C499,PRODUCTOS!$B$5:$B$44,0))),"")</f>
        <v/>
      </c>
      <c r="J499" s="30">
        <f>IFERROR(IF($C499="","",$H499-$I499),"")</f>
        <v/>
      </c>
      <c r="K499" s="28" t="n"/>
      <c r="L499" s="28" t="n"/>
    </row>
    <row r="500">
      <c r="A500" s="26" t="n"/>
      <c r="B500" s="27">
        <f>IF($A500="","",TEXT($A500,"YYYY-MM"))</f>
        <v/>
      </c>
      <c r="C500" s="28" t="n"/>
      <c r="D500" s="29" t="n"/>
      <c r="E500" s="17">
        <f>IFERROR(IF($C500="","",INDEX(PRODUCTOS!$E$5:$E$44,MATCH($C500,PRODUCTOS!$B$5:$B$44,0))),"")</f>
        <v/>
      </c>
      <c r="F500" s="17">
        <f>IFERROR(IF($C500="","",$D500*$E500),"")</f>
        <v/>
      </c>
      <c r="G500" s="17">
        <f>IFERROR(IF($C500="","",$F500-$H500),"")</f>
        <v/>
      </c>
      <c r="H500" s="17">
        <f>IFERROR(IF($C500="","",$F500/(1+INICIO!$C$5)),"")</f>
        <v/>
      </c>
      <c r="I500" s="17">
        <f>IFERROR(IF($C500="","",$D500*INDEX(PRODUCTOS!$D$5:$D$44,MATCH($C500,PRODUCTOS!$B$5:$B$44,0))),"")</f>
        <v/>
      </c>
      <c r="J500" s="30">
        <f>IFERROR(IF($C500="","",$H500-$I500),"")</f>
        <v/>
      </c>
      <c r="K500" s="28" t="n"/>
      <c r="L500" s="28" t="n"/>
    </row>
    <row r="501">
      <c r="A501" s="26" t="n"/>
      <c r="B501" s="27">
        <f>IF($A501="","",TEXT($A501,"YYYY-MM"))</f>
        <v/>
      </c>
      <c r="C501" s="28" t="n"/>
      <c r="D501" s="29" t="n"/>
      <c r="E501" s="17">
        <f>IFERROR(IF($C501="","",INDEX(PRODUCTOS!$E$5:$E$44,MATCH($C501,PRODUCTOS!$B$5:$B$44,0))),"")</f>
        <v/>
      </c>
      <c r="F501" s="17">
        <f>IFERROR(IF($C501="","",$D501*$E501),"")</f>
        <v/>
      </c>
      <c r="G501" s="17">
        <f>IFERROR(IF($C501="","",$F501-$H501),"")</f>
        <v/>
      </c>
      <c r="H501" s="17">
        <f>IFERROR(IF($C501="","",$F501/(1+INICIO!$C$5)),"")</f>
        <v/>
      </c>
      <c r="I501" s="17">
        <f>IFERROR(IF($C501="","",$D501*INDEX(PRODUCTOS!$D$5:$D$44,MATCH($C501,PRODUCTOS!$B$5:$B$44,0))),"")</f>
        <v/>
      </c>
      <c r="J501" s="30">
        <f>IFERROR(IF($C501="","",$H501-$I501),"")</f>
        <v/>
      </c>
      <c r="K501" s="28" t="n"/>
      <c r="L501" s="28" t="n"/>
    </row>
    <row r="502">
      <c r="A502" s="26" t="n"/>
      <c r="B502" s="27">
        <f>IF($A502="","",TEXT($A502,"YYYY-MM"))</f>
        <v/>
      </c>
      <c r="C502" s="28" t="n"/>
      <c r="D502" s="29" t="n"/>
      <c r="E502" s="17">
        <f>IFERROR(IF($C502="","",INDEX(PRODUCTOS!$E$5:$E$44,MATCH($C502,PRODUCTOS!$B$5:$B$44,0))),"")</f>
        <v/>
      </c>
      <c r="F502" s="17">
        <f>IFERROR(IF($C502="","",$D502*$E502),"")</f>
        <v/>
      </c>
      <c r="G502" s="17">
        <f>IFERROR(IF($C502="","",$F502-$H502),"")</f>
        <v/>
      </c>
      <c r="H502" s="17">
        <f>IFERROR(IF($C502="","",$F502/(1+INICIO!$C$5)),"")</f>
        <v/>
      </c>
      <c r="I502" s="17">
        <f>IFERROR(IF($C502="","",$D502*INDEX(PRODUCTOS!$D$5:$D$44,MATCH($C502,PRODUCTOS!$B$5:$B$44,0))),"")</f>
        <v/>
      </c>
      <c r="J502" s="30">
        <f>IFERROR(IF($C502="","",$H502-$I502),"")</f>
        <v/>
      </c>
      <c r="K502" s="28" t="n"/>
      <c r="L502" s="28" t="n"/>
    </row>
    <row r="503">
      <c r="A503" s="26" t="n"/>
      <c r="B503" s="27">
        <f>IF($A503="","",TEXT($A503,"YYYY-MM"))</f>
        <v/>
      </c>
      <c r="C503" s="28" t="n"/>
      <c r="D503" s="29" t="n"/>
      <c r="E503" s="17">
        <f>IFERROR(IF($C503="","",INDEX(PRODUCTOS!$E$5:$E$44,MATCH($C503,PRODUCTOS!$B$5:$B$44,0))),"")</f>
        <v/>
      </c>
      <c r="F503" s="17">
        <f>IFERROR(IF($C503="","",$D503*$E503),"")</f>
        <v/>
      </c>
      <c r="G503" s="17">
        <f>IFERROR(IF($C503="","",$F503-$H503),"")</f>
        <v/>
      </c>
      <c r="H503" s="17">
        <f>IFERROR(IF($C503="","",$F503/(1+INICIO!$C$5)),"")</f>
        <v/>
      </c>
      <c r="I503" s="17">
        <f>IFERROR(IF($C503="","",$D503*INDEX(PRODUCTOS!$D$5:$D$44,MATCH($C503,PRODUCTOS!$B$5:$B$44,0))),"")</f>
        <v/>
      </c>
      <c r="J503" s="30">
        <f>IFERROR(IF($C503="","",$H503-$I503),"")</f>
        <v/>
      </c>
      <c r="K503" s="28" t="n"/>
      <c r="L503" s="28" t="n"/>
    </row>
    <row r="504">
      <c r="A504" s="26" t="n"/>
      <c r="B504" s="27">
        <f>IF($A504="","",TEXT($A504,"YYYY-MM"))</f>
        <v/>
      </c>
      <c r="C504" s="28" t="n"/>
      <c r="D504" s="29" t="n"/>
      <c r="E504" s="17">
        <f>IFERROR(IF($C504="","",INDEX(PRODUCTOS!$E$5:$E$44,MATCH($C504,PRODUCTOS!$B$5:$B$44,0))),"")</f>
        <v/>
      </c>
      <c r="F504" s="17">
        <f>IFERROR(IF($C504="","",$D504*$E504),"")</f>
        <v/>
      </c>
      <c r="G504" s="17">
        <f>IFERROR(IF($C504="","",$F504-$H504),"")</f>
        <v/>
      </c>
      <c r="H504" s="17">
        <f>IFERROR(IF($C504="","",$F504/(1+INICIO!$C$5)),"")</f>
        <v/>
      </c>
      <c r="I504" s="17">
        <f>IFERROR(IF($C504="","",$D504*INDEX(PRODUCTOS!$D$5:$D$44,MATCH($C504,PRODUCTOS!$B$5:$B$44,0))),"")</f>
        <v/>
      </c>
      <c r="J504" s="30">
        <f>IFERROR(IF($C504="","",$H504-$I504),"")</f>
        <v/>
      </c>
      <c r="K504" s="28" t="n"/>
      <c r="L504" s="28" t="n"/>
    </row>
  </sheetData>
  <dataValidations count="3">
    <dataValidation sqref="C5:C504" showDropDown="0" showInputMessage="0" showErrorMessage="0" allowBlank="1" errorTitle="Producto no valido" error="Ese producto no existe. Agregalo en la hoja PRODUCTOS." type="list">
      <formula1>=PRODUCTOS!$B$5:$B$44</formula1>
    </dataValidation>
    <dataValidation sqref="K5:K504" showDropDown="0" showInputMessage="0" showErrorMessage="0" allowBlank="1" type="list">
      <formula1>"Efectivo,Transferencia,PayPhone,Tarjeta"</formula1>
    </dataValidation>
    <dataValidation sqref="L5:L504" showDropDown="0" showInputMessage="0" showErrorMessage="0" allowBlank="1" type="list">
      <formula1>"Fabian,Nerea,Empleado"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H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34" customWidth="1" min="4" max="4"/>
    <col width="12" customWidth="1" min="5" max="5"/>
    <col width="14" customWidth="1" min="6" max="6"/>
    <col width="16" customWidth="1" min="7" max="7"/>
    <col width="14" customWidth="1" min="8" max="8"/>
  </cols>
  <sheetData>
    <row r="1" ht="24" customHeight="1">
      <c r="A1" s="1" t="inlineStr">
        <is>
          <t>GASTOS</t>
        </is>
      </c>
    </row>
    <row r="2">
      <c r="A2" s="2" t="inlineStr">
        <is>
          <t>Todo lo que sale del negocio. Si no lo registras, tu utilidad es mentira.</t>
        </is>
      </c>
    </row>
    <row r="4" ht="30" customHeight="1">
      <c r="A4" s="25" t="inlineStr">
        <is>
          <t>Fecha</t>
        </is>
      </c>
      <c r="B4" s="25" t="inlineStr">
        <is>
          <t>Mes</t>
        </is>
      </c>
      <c r="C4" s="25" t="inlineStr">
        <is>
          <t>Categoria</t>
        </is>
      </c>
      <c r="D4" s="25" t="inlineStr">
        <is>
          <t>Detalle / Proveedor</t>
        </is>
      </c>
      <c r="E4" s="25" t="inlineStr">
        <is>
          <t>Monto</t>
        </is>
      </c>
      <c r="F4" s="25" t="inlineStr">
        <is>
          <t>Tipo</t>
        </is>
      </c>
      <c r="G4" s="25" t="inlineStr">
        <is>
          <t>Forma de pago</t>
        </is>
      </c>
      <c r="H4" s="25" t="inlineStr">
        <is>
          <t>¿Sale de caja?</t>
        </is>
      </c>
    </row>
    <row r="5">
      <c r="A5" s="26" t="n">
        <v>46280</v>
      </c>
      <c r="B5" s="27">
        <f>IF($A5="","",TEXT($A5,"YYYY-MM"))</f>
        <v/>
      </c>
      <c r="C5" s="28" t="inlineStr">
        <is>
          <t>Insumos</t>
        </is>
      </c>
      <c r="D5" s="28" t="inlineStr">
        <is>
          <t>Compra de jarabes - proveedor local</t>
        </is>
      </c>
      <c r="E5" s="31" t="n">
        <v>40</v>
      </c>
      <c r="F5" s="28" t="inlineStr">
        <is>
          <t>Variable</t>
        </is>
      </c>
      <c r="G5" s="28" t="inlineStr">
        <is>
          <t>Efectivo</t>
        </is>
      </c>
      <c r="H5" s="28" t="inlineStr">
        <is>
          <t>SI</t>
        </is>
      </c>
    </row>
    <row r="6">
      <c r="A6" s="26" t="n"/>
      <c r="B6" s="27">
        <f>IF($A6="","",TEXT($A6,"YYYY-MM"))</f>
        <v/>
      </c>
      <c r="C6" s="28" t="n"/>
      <c r="D6" s="28" t="n"/>
      <c r="E6" s="31" t="n"/>
      <c r="F6" s="28" t="n"/>
      <c r="G6" s="28" t="n"/>
      <c r="H6" s="28" t="n"/>
    </row>
    <row r="7">
      <c r="A7" s="26" t="n"/>
      <c r="B7" s="27">
        <f>IF($A7="","",TEXT($A7,"YYYY-MM"))</f>
        <v/>
      </c>
      <c r="C7" s="28" t="n"/>
      <c r="D7" s="28" t="n"/>
      <c r="E7" s="31" t="n"/>
      <c r="F7" s="28" t="n"/>
      <c r="G7" s="28" t="n"/>
      <c r="H7" s="28" t="n"/>
    </row>
    <row r="8">
      <c r="A8" s="26" t="n"/>
      <c r="B8" s="27">
        <f>IF($A8="","",TEXT($A8,"YYYY-MM"))</f>
        <v/>
      </c>
      <c r="C8" s="28" t="n"/>
      <c r="D8" s="28" t="n"/>
      <c r="E8" s="31" t="n"/>
      <c r="F8" s="28" t="n"/>
      <c r="G8" s="28" t="n"/>
      <c r="H8" s="28" t="n"/>
    </row>
    <row r="9">
      <c r="A9" s="26" t="n"/>
      <c r="B9" s="27">
        <f>IF($A9="","",TEXT($A9,"YYYY-MM"))</f>
        <v/>
      </c>
      <c r="C9" s="28" t="n"/>
      <c r="D9" s="28" t="n"/>
      <c r="E9" s="31" t="n"/>
      <c r="F9" s="28" t="n"/>
      <c r="G9" s="28" t="n"/>
      <c r="H9" s="28" t="n"/>
    </row>
    <row r="10">
      <c r="A10" s="26" t="n"/>
      <c r="B10" s="27">
        <f>IF($A10="","",TEXT($A10,"YYYY-MM"))</f>
        <v/>
      </c>
      <c r="C10" s="28" t="n"/>
      <c r="D10" s="28" t="n"/>
      <c r="E10" s="31" t="n"/>
      <c r="F10" s="28" t="n"/>
      <c r="G10" s="28" t="n"/>
      <c r="H10" s="28" t="n"/>
    </row>
    <row r="11">
      <c r="A11" s="26" t="n"/>
      <c r="B11" s="27">
        <f>IF($A11="","",TEXT($A11,"YYYY-MM"))</f>
        <v/>
      </c>
      <c r="C11" s="28" t="n"/>
      <c r="D11" s="28" t="n"/>
      <c r="E11" s="31" t="n"/>
      <c r="F11" s="28" t="n"/>
      <c r="G11" s="28" t="n"/>
      <c r="H11" s="28" t="n"/>
    </row>
    <row r="12">
      <c r="A12" s="26" t="n"/>
      <c r="B12" s="27">
        <f>IF($A12="","",TEXT($A12,"YYYY-MM"))</f>
        <v/>
      </c>
      <c r="C12" s="28" t="n"/>
      <c r="D12" s="28" t="n"/>
      <c r="E12" s="31" t="n"/>
      <c r="F12" s="28" t="n"/>
      <c r="G12" s="28" t="n"/>
      <c r="H12" s="28" t="n"/>
    </row>
    <row r="13">
      <c r="A13" s="26" t="n"/>
      <c r="B13" s="27">
        <f>IF($A13="","",TEXT($A13,"YYYY-MM"))</f>
        <v/>
      </c>
      <c r="C13" s="28" t="n"/>
      <c r="D13" s="28" t="n"/>
      <c r="E13" s="31" t="n"/>
      <c r="F13" s="28" t="n"/>
      <c r="G13" s="28" t="n"/>
      <c r="H13" s="28" t="n"/>
    </row>
    <row r="14">
      <c r="A14" s="26" t="n"/>
      <c r="B14" s="27">
        <f>IF($A14="","",TEXT($A14,"YYYY-MM"))</f>
        <v/>
      </c>
      <c r="C14" s="28" t="n"/>
      <c r="D14" s="28" t="n"/>
      <c r="E14" s="31" t="n"/>
      <c r="F14" s="28" t="n"/>
      <c r="G14" s="28" t="n"/>
      <c r="H14" s="28" t="n"/>
    </row>
    <row r="15">
      <c r="A15" s="26" t="n"/>
      <c r="B15" s="27">
        <f>IF($A15="","",TEXT($A15,"YYYY-MM"))</f>
        <v/>
      </c>
      <c r="C15" s="28" t="n"/>
      <c r="D15" s="28" t="n"/>
      <c r="E15" s="31" t="n"/>
      <c r="F15" s="28" t="n"/>
      <c r="G15" s="28" t="n"/>
      <c r="H15" s="28" t="n"/>
    </row>
    <row r="16">
      <c r="A16" s="26" t="n"/>
      <c r="B16" s="27">
        <f>IF($A16="","",TEXT($A16,"YYYY-MM"))</f>
        <v/>
      </c>
      <c r="C16" s="28" t="n"/>
      <c r="D16" s="28" t="n"/>
      <c r="E16" s="31" t="n"/>
      <c r="F16" s="28" t="n"/>
      <c r="G16" s="28" t="n"/>
      <c r="H16" s="28" t="n"/>
    </row>
    <row r="17">
      <c r="A17" s="26" t="n"/>
      <c r="B17" s="27">
        <f>IF($A17="","",TEXT($A17,"YYYY-MM"))</f>
        <v/>
      </c>
      <c r="C17" s="28" t="n"/>
      <c r="D17" s="28" t="n"/>
      <c r="E17" s="31" t="n"/>
      <c r="F17" s="28" t="n"/>
      <c r="G17" s="28" t="n"/>
      <c r="H17" s="28" t="n"/>
    </row>
    <row r="18">
      <c r="A18" s="26" t="n"/>
      <c r="B18" s="27">
        <f>IF($A18="","",TEXT($A18,"YYYY-MM"))</f>
        <v/>
      </c>
      <c r="C18" s="28" t="n"/>
      <c r="D18" s="28" t="n"/>
      <c r="E18" s="31" t="n"/>
      <c r="F18" s="28" t="n"/>
      <c r="G18" s="28" t="n"/>
      <c r="H18" s="28" t="n"/>
    </row>
    <row r="19">
      <c r="A19" s="26" t="n"/>
      <c r="B19" s="27">
        <f>IF($A19="","",TEXT($A19,"YYYY-MM"))</f>
        <v/>
      </c>
      <c r="C19" s="28" t="n"/>
      <c r="D19" s="28" t="n"/>
      <c r="E19" s="31" t="n"/>
      <c r="F19" s="28" t="n"/>
      <c r="G19" s="28" t="n"/>
      <c r="H19" s="28" t="n"/>
    </row>
    <row r="20">
      <c r="A20" s="26" t="n"/>
      <c r="B20" s="27">
        <f>IF($A20="","",TEXT($A20,"YYYY-MM"))</f>
        <v/>
      </c>
      <c r="C20" s="28" t="n"/>
      <c r="D20" s="28" t="n"/>
      <c r="E20" s="31" t="n"/>
      <c r="F20" s="28" t="n"/>
      <c r="G20" s="28" t="n"/>
      <c r="H20" s="28" t="n"/>
    </row>
    <row r="21">
      <c r="A21" s="26" t="n"/>
      <c r="B21" s="27">
        <f>IF($A21="","",TEXT($A21,"YYYY-MM"))</f>
        <v/>
      </c>
      <c r="C21" s="28" t="n"/>
      <c r="D21" s="28" t="n"/>
      <c r="E21" s="31" t="n"/>
      <c r="F21" s="28" t="n"/>
      <c r="G21" s="28" t="n"/>
      <c r="H21" s="28" t="n"/>
    </row>
    <row r="22">
      <c r="A22" s="26" t="n"/>
      <c r="B22" s="27">
        <f>IF($A22="","",TEXT($A22,"YYYY-MM"))</f>
        <v/>
      </c>
      <c r="C22" s="28" t="n"/>
      <c r="D22" s="28" t="n"/>
      <c r="E22" s="31" t="n"/>
      <c r="F22" s="28" t="n"/>
      <c r="G22" s="28" t="n"/>
      <c r="H22" s="28" t="n"/>
    </row>
    <row r="23">
      <c r="A23" s="26" t="n"/>
      <c r="B23" s="27">
        <f>IF($A23="","",TEXT($A23,"YYYY-MM"))</f>
        <v/>
      </c>
      <c r="C23" s="28" t="n"/>
      <c r="D23" s="28" t="n"/>
      <c r="E23" s="31" t="n"/>
      <c r="F23" s="28" t="n"/>
      <c r="G23" s="28" t="n"/>
      <c r="H23" s="28" t="n"/>
    </row>
    <row r="24">
      <c r="A24" s="26" t="n"/>
      <c r="B24" s="27">
        <f>IF($A24="","",TEXT($A24,"YYYY-MM"))</f>
        <v/>
      </c>
      <c r="C24" s="28" t="n"/>
      <c r="D24" s="28" t="n"/>
      <c r="E24" s="31" t="n"/>
      <c r="F24" s="28" t="n"/>
      <c r="G24" s="28" t="n"/>
      <c r="H24" s="28" t="n"/>
    </row>
    <row r="25">
      <c r="A25" s="26" t="n"/>
      <c r="B25" s="27">
        <f>IF($A25="","",TEXT($A25,"YYYY-MM"))</f>
        <v/>
      </c>
      <c r="C25" s="28" t="n"/>
      <c r="D25" s="28" t="n"/>
      <c r="E25" s="31" t="n"/>
      <c r="F25" s="28" t="n"/>
      <c r="G25" s="28" t="n"/>
      <c r="H25" s="28" t="n"/>
    </row>
    <row r="26">
      <c r="A26" s="26" t="n"/>
      <c r="B26" s="27">
        <f>IF($A26="","",TEXT($A26,"YYYY-MM"))</f>
        <v/>
      </c>
      <c r="C26" s="28" t="n"/>
      <c r="D26" s="28" t="n"/>
      <c r="E26" s="31" t="n"/>
      <c r="F26" s="28" t="n"/>
      <c r="G26" s="28" t="n"/>
      <c r="H26" s="28" t="n"/>
    </row>
    <row r="27">
      <c r="A27" s="26" t="n"/>
      <c r="B27" s="27">
        <f>IF($A27="","",TEXT($A27,"YYYY-MM"))</f>
        <v/>
      </c>
      <c r="C27" s="28" t="n"/>
      <c r="D27" s="28" t="n"/>
      <c r="E27" s="31" t="n"/>
      <c r="F27" s="28" t="n"/>
      <c r="G27" s="28" t="n"/>
      <c r="H27" s="28" t="n"/>
    </row>
    <row r="28">
      <c r="A28" s="26" t="n"/>
      <c r="B28" s="27">
        <f>IF($A28="","",TEXT($A28,"YYYY-MM"))</f>
        <v/>
      </c>
      <c r="C28" s="28" t="n"/>
      <c r="D28" s="28" t="n"/>
      <c r="E28" s="31" t="n"/>
      <c r="F28" s="28" t="n"/>
      <c r="G28" s="28" t="n"/>
      <c r="H28" s="28" t="n"/>
    </row>
    <row r="29">
      <c r="A29" s="26" t="n"/>
      <c r="B29" s="27">
        <f>IF($A29="","",TEXT($A29,"YYYY-MM"))</f>
        <v/>
      </c>
      <c r="C29" s="28" t="n"/>
      <c r="D29" s="28" t="n"/>
      <c r="E29" s="31" t="n"/>
      <c r="F29" s="28" t="n"/>
      <c r="G29" s="28" t="n"/>
      <c r="H29" s="28" t="n"/>
    </row>
    <row r="30">
      <c r="A30" s="26" t="n"/>
      <c r="B30" s="27">
        <f>IF($A30="","",TEXT($A30,"YYYY-MM"))</f>
        <v/>
      </c>
      <c r="C30" s="28" t="n"/>
      <c r="D30" s="28" t="n"/>
      <c r="E30" s="31" t="n"/>
      <c r="F30" s="28" t="n"/>
      <c r="G30" s="28" t="n"/>
      <c r="H30" s="28" t="n"/>
    </row>
    <row r="31">
      <c r="A31" s="26" t="n"/>
      <c r="B31" s="27">
        <f>IF($A31="","",TEXT($A31,"YYYY-MM"))</f>
        <v/>
      </c>
      <c r="C31" s="28" t="n"/>
      <c r="D31" s="28" t="n"/>
      <c r="E31" s="31" t="n"/>
      <c r="F31" s="28" t="n"/>
      <c r="G31" s="28" t="n"/>
      <c r="H31" s="28" t="n"/>
    </row>
    <row r="32">
      <c r="A32" s="26" t="n"/>
      <c r="B32" s="27">
        <f>IF($A32="","",TEXT($A32,"YYYY-MM"))</f>
        <v/>
      </c>
      <c r="C32" s="28" t="n"/>
      <c r="D32" s="28" t="n"/>
      <c r="E32" s="31" t="n"/>
      <c r="F32" s="28" t="n"/>
      <c r="G32" s="28" t="n"/>
      <c r="H32" s="28" t="n"/>
    </row>
    <row r="33">
      <c r="A33" s="26" t="n"/>
      <c r="B33" s="27">
        <f>IF($A33="","",TEXT($A33,"YYYY-MM"))</f>
        <v/>
      </c>
      <c r="C33" s="28" t="n"/>
      <c r="D33" s="28" t="n"/>
      <c r="E33" s="31" t="n"/>
      <c r="F33" s="28" t="n"/>
      <c r="G33" s="28" t="n"/>
      <c r="H33" s="28" t="n"/>
    </row>
    <row r="34">
      <c r="A34" s="26" t="n"/>
      <c r="B34" s="27">
        <f>IF($A34="","",TEXT($A34,"YYYY-MM"))</f>
        <v/>
      </c>
      <c r="C34" s="28" t="n"/>
      <c r="D34" s="28" t="n"/>
      <c r="E34" s="31" t="n"/>
      <c r="F34" s="28" t="n"/>
      <c r="G34" s="28" t="n"/>
      <c r="H34" s="28" t="n"/>
    </row>
    <row r="35">
      <c r="A35" s="26" t="n"/>
      <c r="B35" s="27">
        <f>IF($A35="","",TEXT($A35,"YYYY-MM"))</f>
        <v/>
      </c>
      <c r="C35" s="28" t="n"/>
      <c r="D35" s="28" t="n"/>
      <c r="E35" s="31" t="n"/>
      <c r="F35" s="28" t="n"/>
      <c r="G35" s="28" t="n"/>
      <c r="H35" s="28" t="n"/>
    </row>
    <row r="36">
      <c r="A36" s="26" t="n"/>
      <c r="B36" s="27">
        <f>IF($A36="","",TEXT($A36,"YYYY-MM"))</f>
        <v/>
      </c>
      <c r="C36" s="28" t="n"/>
      <c r="D36" s="28" t="n"/>
      <c r="E36" s="31" t="n"/>
      <c r="F36" s="28" t="n"/>
      <c r="G36" s="28" t="n"/>
      <c r="H36" s="28" t="n"/>
    </row>
    <row r="37">
      <c r="A37" s="26" t="n"/>
      <c r="B37" s="27">
        <f>IF($A37="","",TEXT($A37,"YYYY-MM"))</f>
        <v/>
      </c>
      <c r="C37" s="28" t="n"/>
      <c r="D37" s="28" t="n"/>
      <c r="E37" s="31" t="n"/>
      <c r="F37" s="28" t="n"/>
      <c r="G37" s="28" t="n"/>
      <c r="H37" s="28" t="n"/>
    </row>
    <row r="38">
      <c r="A38" s="26" t="n"/>
      <c r="B38" s="27">
        <f>IF($A38="","",TEXT($A38,"YYYY-MM"))</f>
        <v/>
      </c>
      <c r="C38" s="28" t="n"/>
      <c r="D38" s="28" t="n"/>
      <c r="E38" s="31" t="n"/>
      <c r="F38" s="28" t="n"/>
      <c r="G38" s="28" t="n"/>
      <c r="H38" s="28" t="n"/>
    </row>
    <row r="39">
      <c r="A39" s="26" t="n"/>
      <c r="B39" s="27">
        <f>IF($A39="","",TEXT($A39,"YYYY-MM"))</f>
        <v/>
      </c>
      <c r="C39" s="28" t="n"/>
      <c r="D39" s="28" t="n"/>
      <c r="E39" s="31" t="n"/>
      <c r="F39" s="28" t="n"/>
      <c r="G39" s="28" t="n"/>
      <c r="H39" s="28" t="n"/>
    </row>
    <row r="40">
      <c r="A40" s="26" t="n"/>
      <c r="B40" s="27">
        <f>IF($A40="","",TEXT($A40,"YYYY-MM"))</f>
        <v/>
      </c>
      <c r="C40" s="28" t="n"/>
      <c r="D40" s="28" t="n"/>
      <c r="E40" s="31" t="n"/>
      <c r="F40" s="28" t="n"/>
      <c r="G40" s="28" t="n"/>
      <c r="H40" s="28" t="n"/>
    </row>
    <row r="41">
      <c r="A41" s="26" t="n"/>
      <c r="B41" s="27">
        <f>IF($A41="","",TEXT($A41,"YYYY-MM"))</f>
        <v/>
      </c>
      <c r="C41" s="28" t="n"/>
      <c r="D41" s="28" t="n"/>
      <c r="E41" s="31" t="n"/>
      <c r="F41" s="28" t="n"/>
      <c r="G41" s="28" t="n"/>
      <c r="H41" s="28" t="n"/>
    </row>
    <row r="42">
      <c r="A42" s="26" t="n"/>
      <c r="B42" s="27">
        <f>IF($A42="","",TEXT($A42,"YYYY-MM"))</f>
        <v/>
      </c>
      <c r="C42" s="28" t="n"/>
      <c r="D42" s="28" t="n"/>
      <c r="E42" s="31" t="n"/>
      <c r="F42" s="28" t="n"/>
      <c r="G42" s="28" t="n"/>
      <c r="H42" s="28" t="n"/>
    </row>
    <row r="43">
      <c r="A43" s="26" t="n"/>
      <c r="B43" s="27">
        <f>IF($A43="","",TEXT($A43,"YYYY-MM"))</f>
        <v/>
      </c>
      <c r="C43" s="28" t="n"/>
      <c r="D43" s="28" t="n"/>
      <c r="E43" s="31" t="n"/>
      <c r="F43" s="28" t="n"/>
      <c r="G43" s="28" t="n"/>
      <c r="H43" s="28" t="n"/>
    </row>
    <row r="44">
      <c r="A44" s="26" t="n"/>
      <c r="B44" s="27">
        <f>IF($A44="","",TEXT($A44,"YYYY-MM"))</f>
        <v/>
      </c>
      <c r="C44" s="28" t="n"/>
      <c r="D44" s="28" t="n"/>
      <c r="E44" s="31" t="n"/>
      <c r="F44" s="28" t="n"/>
      <c r="G44" s="28" t="n"/>
      <c r="H44" s="28" t="n"/>
    </row>
    <row r="45">
      <c r="A45" s="26" t="n"/>
      <c r="B45" s="27">
        <f>IF($A45="","",TEXT($A45,"YYYY-MM"))</f>
        <v/>
      </c>
      <c r="C45" s="28" t="n"/>
      <c r="D45" s="28" t="n"/>
      <c r="E45" s="31" t="n"/>
      <c r="F45" s="28" t="n"/>
      <c r="G45" s="28" t="n"/>
      <c r="H45" s="28" t="n"/>
    </row>
    <row r="46">
      <c r="A46" s="26" t="n"/>
      <c r="B46" s="27">
        <f>IF($A46="","",TEXT($A46,"YYYY-MM"))</f>
        <v/>
      </c>
      <c r="C46" s="28" t="n"/>
      <c r="D46" s="28" t="n"/>
      <c r="E46" s="31" t="n"/>
      <c r="F46" s="28" t="n"/>
      <c r="G46" s="28" t="n"/>
      <c r="H46" s="28" t="n"/>
    </row>
    <row r="47">
      <c r="A47" s="26" t="n"/>
      <c r="B47" s="27">
        <f>IF($A47="","",TEXT($A47,"YYYY-MM"))</f>
        <v/>
      </c>
      <c r="C47" s="28" t="n"/>
      <c r="D47" s="28" t="n"/>
      <c r="E47" s="31" t="n"/>
      <c r="F47" s="28" t="n"/>
      <c r="G47" s="28" t="n"/>
      <c r="H47" s="28" t="n"/>
    </row>
    <row r="48">
      <c r="A48" s="26" t="n"/>
      <c r="B48" s="27">
        <f>IF($A48="","",TEXT($A48,"YYYY-MM"))</f>
        <v/>
      </c>
      <c r="C48" s="28" t="n"/>
      <c r="D48" s="28" t="n"/>
      <c r="E48" s="31" t="n"/>
      <c r="F48" s="28" t="n"/>
      <c r="G48" s="28" t="n"/>
      <c r="H48" s="28" t="n"/>
    </row>
    <row r="49">
      <c r="A49" s="26" t="n"/>
      <c r="B49" s="27">
        <f>IF($A49="","",TEXT($A49,"YYYY-MM"))</f>
        <v/>
      </c>
      <c r="C49" s="28" t="n"/>
      <c r="D49" s="28" t="n"/>
      <c r="E49" s="31" t="n"/>
      <c r="F49" s="28" t="n"/>
      <c r="G49" s="28" t="n"/>
      <c r="H49" s="28" t="n"/>
    </row>
    <row r="50">
      <c r="A50" s="26" t="n"/>
      <c r="B50" s="27">
        <f>IF($A50="","",TEXT($A50,"YYYY-MM"))</f>
        <v/>
      </c>
      <c r="C50" s="28" t="n"/>
      <c r="D50" s="28" t="n"/>
      <c r="E50" s="31" t="n"/>
      <c r="F50" s="28" t="n"/>
      <c r="G50" s="28" t="n"/>
      <c r="H50" s="28" t="n"/>
    </row>
    <row r="51">
      <c r="A51" s="26" t="n"/>
      <c r="B51" s="27">
        <f>IF($A51="","",TEXT($A51,"YYYY-MM"))</f>
        <v/>
      </c>
      <c r="C51" s="28" t="n"/>
      <c r="D51" s="28" t="n"/>
      <c r="E51" s="31" t="n"/>
      <c r="F51" s="28" t="n"/>
      <c r="G51" s="28" t="n"/>
      <c r="H51" s="28" t="n"/>
    </row>
    <row r="52">
      <c r="A52" s="26" t="n"/>
      <c r="B52" s="27">
        <f>IF($A52="","",TEXT($A52,"YYYY-MM"))</f>
        <v/>
      </c>
      <c r="C52" s="28" t="n"/>
      <c r="D52" s="28" t="n"/>
      <c r="E52" s="31" t="n"/>
      <c r="F52" s="28" t="n"/>
      <c r="G52" s="28" t="n"/>
      <c r="H52" s="28" t="n"/>
    </row>
    <row r="53">
      <c r="A53" s="26" t="n"/>
      <c r="B53" s="27">
        <f>IF($A53="","",TEXT($A53,"YYYY-MM"))</f>
        <v/>
      </c>
      <c r="C53" s="28" t="n"/>
      <c r="D53" s="28" t="n"/>
      <c r="E53" s="31" t="n"/>
      <c r="F53" s="28" t="n"/>
      <c r="G53" s="28" t="n"/>
      <c r="H53" s="28" t="n"/>
    </row>
    <row r="54">
      <c r="A54" s="26" t="n"/>
      <c r="B54" s="27">
        <f>IF($A54="","",TEXT($A54,"YYYY-MM"))</f>
        <v/>
      </c>
      <c r="C54" s="28" t="n"/>
      <c r="D54" s="28" t="n"/>
      <c r="E54" s="31" t="n"/>
      <c r="F54" s="28" t="n"/>
      <c r="G54" s="28" t="n"/>
      <c r="H54" s="28" t="n"/>
    </row>
    <row r="55">
      <c r="A55" s="26" t="n"/>
      <c r="B55" s="27">
        <f>IF($A55="","",TEXT($A55,"YYYY-MM"))</f>
        <v/>
      </c>
      <c r="C55" s="28" t="n"/>
      <c r="D55" s="28" t="n"/>
      <c r="E55" s="31" t="n"/>
      <c r="F55" s="28" t="n"/>
      <c r="G55" s="28" t="n"/>
      <c r="H55" s="28" t="n"/>
    </row>
    <row r="56">
      <c r="A56" s="26" t="n"/>
      <c r="B56" s="27">
        <f>IF($A56="","",TEXT($A56,"YYYY-MM"))</f>
        <v/>
      </c>
      <c r="C56" s="28" t="n"/>
      <c r="D56" s="28" t="n"/>
      <c r="E56" s="31" t="n"/>
      <c r="F56" s="28" t="n"/>
      <c r="G56" s="28" t="n"/>
      <c r="H56" s="28" t="n"/>
    </row>
    <row r="57">
      <c r="A57" s="26" t="n"/>
      <c r="B57" s="27">
        <f>IF($A57="","",TEXT($A57,"YYYY-MM"))</f>
        <v/>
      </c>
      <c r="C57" s="28" t="n"/>
      <c r="D57" s="28" t="n"/>
      <c r="E57" s="31" t="n"/>
      <c r="F57" s="28" t="n"/>
      <c r="G57" s="28" t="n"/>
      <c r="H57" s="28" t="n"/>
    </row>
    <row r="58">
      <c r="A58" s="26" t="n"/>
      <c r="B58" s="27">
        <f>IF($A58="","",TEXT($A58,"YYYY-MM"))</f>
        <v/>
      </c>
      <c r="C58" s="28" t="n"/>
      <c r="D58" s="28" t="n"/>
      <c r="E58" s="31" t="n"/>
      <c r="F58" s="28" t="n"/>
      <c r="G58" s="28" t="n"/>
      <c r="H58" s="28" t="n"/>
    </row>
    <row r="59">
      <c r="A59" s="26" t="n"/>
      <c r="B59" s="27">
        <f>IF($A59="","",TEXT($A59,"YYYY-MM"))</f>
        <v/>
      </c>
      <c r="C59" s="28" t="n"/>
      <c r="D59" s="28" t="n"/>
      <c r="E59" s="31" t="n"/>
      <c r="F59" s="28" t="n"/>
      <c r="G59" s="28" t="n"/>
      <c r="H59" s="28" t="n"/>
    </row>
    <row r="60">
      <c r="A60" s="26" t="n"/>
      <c r="B60" s="27">
        <f>IF($A60="","",TEXT($A60,"YYYY-MM"))</f>
        <v/>
      </c>
      <c r="C60" s="28" t="n"/>
      <c r="D60" s="28" t="n"/>
      <c r="E60" s="31" t="n"/>
      <c r="F60" s="28" t="n"/>
      <c r="G60" s="28" t="n"/>
      <c r="H60" s="28" t="n"/>
    </row>
    <row r="61">
      <c r="A61" s="26" t="n"/>
      <c r="B61" s="27">
        <f>IF($A61="","",TEXT($A61,"YYYY-MM"))</f>
        <v/>
      </c>
      <c r="C61" s="28" t="n"/>
      <c r="D61" s="28" t="n"/>
      <c r="E61" s="31" t="n"/>
      <c r="F61" s="28" t="n"/>
      <c r="G61" s="28" t="n"/>
      <c r="H61" s="28" t="n"/>
    </row>
    <row r="62">
      <c r="A62" s="26" t="n"/>
      <c r="B62" s="27">
        <f>IF($A62="","",TEXT($A62,"YYYY-MM"))</f>
        <v/>
      </c>
      <c r="C62" s="28" t="n"/>
      <c r="D62" s="28" t="n"/>
      <c r="E62" s="31" t="n"/>
      <c r="F62" s="28" t="n"/>
      <c r="G62" s="28" t="n"/>
      <c r="H62" s="28" t="n"/>
    </row>
    <row r="63">
      <c r="A63" s="26" t="n"/>
      <c r="B63" s="27">
        <f>IF($A63="","",TEXT($A63,"YYYY-MM"))</f>
        <v/>
      </c>
      <c r="C63" s="28" t="n"/>
      <c r="D63" s="28" t="n"/>
      <c r="E63" s="31" t="n"/>
      <c r="F63" s="28" t="n"/>
      <c r="G63" s="28" t="n"/>
      <c r="H63" s="28" t="n"/>
    </row>
    <row r="64">
      <c r="A64" s="26" t="n"/>
      <c r="B64" s="27">
        <f>IF($A64="","",TEXT($A64,"YYYY-MM"))</f>
        <v/>
      </c>
      <c r="C64" s="28" t="n"/>
      <c r="D64" s="28" t="n"/>
      <c r="E64" s="31" t="n"/>
      <c r="F64" s="28" t="n"/>
      <c r="G64" s="28" t="n"/>
      <c r="H64" s="28" t="n"/>
    </row>
    <row r="65">
      <c r="A65" s="26" t="n"/>
      <c r="B65" s="27">
        <f>IF($A65="","",TEXT($A65,"YYYY-MM"))</f>
        <v/>
      </c>
      <c r="C65" s="28" t="n"/>
      <c r="D65" s="28" t="n"/>
      <c r="E65" s="31" t="n"/>
      <c r="F65" s="28" t="n"/>
      <c r="G65" s="28" t="n"/>
      <c r="H65" s="28" t="n"/>
    </row>
    <row r="66">
      <c r="A66" s="26" t="n"/>
      <c r="B66" s="27">
        <f>IF($A66="","",TEXT($A66,"YYYY-MM"))</f>
        <v/>
      </c>
      <c r="C66" s="28" t="n"/>
      <c r="D66" s="28" t="n"/>
      <c r="E66" s="31" t="n"/>
      <c r="F66" s="28" t="n"/>
      <c r="G66" s="28" t="n"/>
      <c r="H66" s="28" t="n"/>
    </row>
    <row r="67">
      <c r="A67" s="26" t="n"/>
      <c r="B67" s="27">
        <f>IF($A67="","",TEXT($A67,"YYYY-MM"))</f>
        <v/>
      </c>
      <c r="C67" s="28" t="n"/>
      <c r="D67" s="28" t="n"/>
      <c r="E67" s="31" t="n"/>
      <c r="F67" s="28" t="n"/>
      <c r="G67" s="28" t="n"/>
      <c r="H67" s="28" t="n"/>
    </row>
    <row r="68">
      <c r="A68" s="26" t="n"/>
      <c r="B68" s="27">
        <f>IF($A68="","",TEXT($A68,"YYYY-MM"))</f>
        <v/>
      </c>
      <c r="C68" s="28" t="n"/>
      <c r="D68" s="28" t="n"/>
      <c r="E68" s="31" t="n"/>
      <c r="F68" s="28" t="n"/>
      <c r="G68" s="28" t="n"/>
      <c r="H68" s="28" t="n"/>
    </row>
    <row r="69">
      <c r="A69" s="26" t="n"/>
      <c r="B69" s="27">
        <f>IF($A69="","",TEXT($A69,"YYYY-MM"))</f>
        <v/>
      </c>
      <c r="C69" s="28" t="n"/>
      <c r="D69" s="28" t="n"/>
      <c r="E69" s="31" t="n"/>
      <c r="F69" s="28" t="n"/>
      <c r="G69" s="28" t="n"/>
      <c r="H69" s="28" t="n"/>
    </row>
    <row r="70">
      <c r="A70" s="26" t="n"/>
      <c r="B70" s="27">
        <f>IF($A70="","",TEXT($A70,"YYYY-MM"))</f>
        <v/>
      </c>
      <c r="C70" s="28" t="n"/>
      <c r="D70" s="28" t="n"/>
      <c r="E70" s="31" t="n"/>
      <c r="F70" s="28" t="n"/>
      <c r="G70" s="28" t="n"/>
      <c r="H70" s="28" t="n"/>
    </row>
    <row r="71">
      <c r="A71" s="26" t="n"/>
      <c r="B71" s="27">
        <f>IF($A71="","",TEXT($A71,"YYYY-MM"))</f>
        <v/>
      </c>
      <c r="C71" s="28" t="n"/>
      <c r="D71" s="28" t="n"/>
      <c r="E71" s="31" t="n"/>
      <c r="F71" s="28" t="n"/>
      <c r="G71" s="28" t="n"/>
      <c r="H71" s="28" t="n"/>
    </row>
    <row r="72">
      <c r="A72" s="26" t="n"/>
      <c r="B72" s="27">
        <f>IF($A72="","",TEXT($A72,"YYYY-MM"))</f>
        <v/>
      </c>
      <c r="C72" s="28" t="n"/>
      <c r="D72" s="28" t="n"/>
      <c r="E72" s="31" t="n"/>
      <c r="F72" s="28" t="n"/>
      <c r="G72" s="28" t="n"/>
      <c r="H72" s="28" t="n"/>
    </row>
    <row r="73">
      <c r="A73" s="26" t="n"/>
      <c r="B73" s="27">
        <f>IF($A73="","",TEXT($A73,"YYYY-MM"))</f>
        <v/>
      </c>
      <c r="C73" s="28" t="n"/>
      <c r="D73" s="28" t="n"/>
      <c r="E73" s="31" t="n"/>
      <c r="F73" s="28" t="n"/>
      <c r="G73" s="28" t="n"/>
      <c r="H73" s="28" t="n"/>
    </row>
    <row r="74">
      <c r="A74" s="26" t="n"/>
      <c r="B74" s="27">
        <f>IF($A74="","",TEXT($A74,"YYYY-MM"))</f>
        <v/>
      </c>
      <c r="C74" s="28" t="n"/>
      <c r="D74" s="28" t="n"/>
      <c r="E74" s="31" t="n"/>
      <c r="F74" s="28" t="n"/>
      <c r="G74" s="28" t="n"/>
      <c r="H74" s="28" t="n"/>
    </row>
    <row r="75">
      <c r="A75" s="26" t="n"/>
      <c r="B75" s="27">
        <f>IF($A75="","",TEXT($A75,"YYYY-MM"))</f>
        <v/>
      </c>
      <c r="C75" s="28" t="n"/>
      <c r="D75" s="28" t="n"/>
      <c r="E75" s="31" t="n"/>
      <c r="F75" s="28" t="n"/>
      <c r="G75" s="28" t="n"/>
      <c r="H75" s="28" t="n"/>
    </row>
    <row r="76">
      <c r="A76" s="26" t="n"/>
      <c r="B76" s="27">
        <f>IF($A76="","",TEXT($A76,"YYYY-MM"))</f>
        <v/>
      </c>
      <c r="C76" s="28" t="n"/>
      <c r="D76" s="28" t="n"/>
      <c r="E76" s="31" t="n"/>
      <c r="F76" s="28" t="n"/>
      <c r="G76" s="28" t="n"/>
      <c r="H76" s="28" t="n"/>
    </row>
    <row r="77">
      <c r="A77" s="26" t="n"/>
      <c r="B77" s="27">
        <f>IF($A77="","",TEXT($A77,"YYYY-MM"))</f>
        <v/>
      </c>
      <c r="C77" s="28" t="n"/>
      <c r="D77" s="28" t="n"/>
      <c r="E77" s="31" t="n"/>
      <c r="F77" s="28" t="n"/>
      <c r="G77" s="28" t="n"/>
      <c r="H77" s="28" t="n"/>
    </row>
    <row r="78">
      <c r="A78" s="26" t="n"/>
      <c r="B78" s="27">
        <f>IF($A78="","",TEXT($A78,"YYYY-MM"))</f>
        <v/>
      </c>
      <c r="C78" s="28" t="n"/>
      <c r="D78" s="28" t="n"/>
      <c r="E78" s="31" t="n"/>
      <c r="F78" s="28" t="n"/>
      <c r="G78" s="28" t="n"/>
      <c r="H78" s="28" t="n"/>
    </row>
    <row r="79">
      <c r="A79" s="26" t="n"/>
      <c r="B79" s="27">
        <f>IF($A79="","",TEXT($A79,"YYYY-MM"))</f>
        <v/>
      </c>
      <c r="C79" s="28" t="n"/>
      <c r="D79" s="28" t="n"/>
      <c r="E79" s="31" t="n"/>
      <c r="F79" s="28" t="n"/>
      <c r="G79" s="28" t="n"/>
      <c r="H79" s="28" t="n"/>
    </row>
    <row r="80">
      <c r="A80" s="26" t="n"/>
      <c r="B80" s="27">
        <f>IF($A80="","",TEXT($A80,"YYYY-MM"))</f>
        <v/>
      </c>
      <c r="C80" s="28" t="n"/>
      <c r="D80" s="28" t="n"/>
      <c r="E80" s="31" t="n"/>
      <c r="F80" s="28" t="n"/>
      <c r="G80" s="28" t="n"/>
      <c r="H80" s="28" t="n"/>
    </row>
    <row r="81">
      <c r="A81" s="26" t="n"/>
      <c r="B81" s="27">
        <f>IF($A81="","",TEXT($A81,"YYYY-MM"))</f>
        <v/>
      </c>
      <c r="C81" s="28" t="n"/>
      <c r="D81" s="28" t="n"/>
      <c r="E81" s="31" t="n"/>
      <c r="F81" s="28" t="n"/>
      <c r="G81" s="28" t="n"/>
      <c r="H81" s="28" t="n"/>
    </row>
    <row r="82">
      <c r="A82" s="26" t="n"/>
      <c r="B82" s="27">
        <f>IF($A82="","",TEXT($A82,"YYYY-MM"))</f>
        <v/>
      </c>
      <c r="C82" s="28" t="n"/>
      <c r="D82" s="28" t="n"/>
      <c r="E82" s="31" t="n"/>
      <c r="F82" s="28" t="n"/>
      <c r="G82" s="28" t="n"/>
      <c r="H82" s="28" t="n"/>
    </row>
    <row r="83">
      <c r="A83" s="26" t="n"/>
      <c r="B83" s="27">
        <f>IF($A83="","",TEXT($A83,"YYYY-MM"))</f>
        <v/>
      </c>
      <c r="C83" s="28" t="n"/>
      <c r="D83" s="28" t="n"/>
      <c r="E83" s="31" t="n"/>
      <c r="F83" s="28" t="n"/>
      <c r="G83" s="28" t="n"/>
      <c r="H83" s="28" t="n"/>
    </row>
    <row r="84">
      <c r="A84" s="26" t="n"/>
      <c r="B84" s="27">
        <f>IF($A84="","",TEXT($A84,"YYYY-MM"))</f>
        <v/>
      </c>
      <c r="C84" s="28" t="n"/>
      <c r="D84" s="28" t="n"/>
      <c r="E84" s="31" t="n"/>
      <c r="F84" s="28" t="n"/>
      <c r="G84" s="28" t="n"/>
      <c r="H84" s="28" t="n"/>
    </row>
    <row r="85">
      <c r="A85" s="26" t="n"/>
      <c r="B85" s="27">
        <f>IF($A85="","",TEXT($A85,"YYYY-MM"))</f>
        <v/>
      </c>
      <c r="C85" s="28" t="n"/>
      <c r="D85" s="28" t="n"/>
      <c r="E85" s="31" t="n"/>
      <c r="F85" s="28" t="n"/>
      <c r="G85" s="28" t="n"/>
      <c r="H85" s="28" t="n"/>
    </row>
    <row r="86">
      <c r="A86" s="26" t="n"/>
      <c r="B86" s="27">
        <f>IF($A86="","",TEXT($A86,"YYYY-MM"))</f>
        <v/>
      </c>
      <c r="C86" s="28" t="n"/>
      <c r="D86" s="28" t="n"/>
      <c r="E86" s="31" t="n"/>
      <c r="F86" s="28" t="n"/>
      <c r="G86" s="28" t="n"/>
      <c r="H86" s="28" t="n"/>
    </row>
    <row r="87">
      <c r="A87" s="26" t="n"/>
      <c r="B87" s="27">
        <f>IF($A87="","",TEXT($A87,"YYYY-MM"))</f>
        <v/>
      </c>
      <c r="C87" s="28" t="n"/>
      <c r="D87" s="28" t="n"/>
      <c r="E87" s="31" t="n"/>
      <c r="F87" s="28" t="n"/>
      <c r="G87" s="28" t="n"/>
      <c r="H87" s="28" t="n"/>
    </row>
    <row r="88">
      <c r="A88" s="26" t="n"/>
      <c r="B88" s="27">
        <f>IF($A88="","",TEXT($A88,"YYYY-MM"))</f>
        <v/>
      </c>
      <c r="C88" s="28" t="n"/>
      <c r="D88" s="28" t="n"/>
      <c r="E88" s="31" t="n"/>
      <c r="F88" s="28" t="n"/>
      <c r="G88" s="28" t="n"/>
      <c r="H88" s="28" t="n"/>
    </row>
    <row r="89">
      <c r="A89" s="26" t="n"/>
      <c r="B89" s="27">
        <f>IF($A89="","",TEXT($A89,"YYYY-MM"))</f>
        <v/>
      </c>
      <c r="C89" s="28" t="n"/>
      <c r="D89" s="28" t="n"/>
      <c r="E89" s="31" t="n"/>
      <c r="F89" s="28" t="n"/>
      <c r="G89" s="28" t="n"/>
      <c r="H89" s="28" t="n"/>
    </row>
    <row r="90">
      <c r="A90" s="26" t="n"/>
      <c r="B90" s="27">
        <f>IF($A90="","",TEXT($A90,"YYYY-MM"))</f>
        <v/>
      </c>
      <c r="C90" s="28" t="n"/>
      <c r="D90" s="28" t="n"/>
      <c r="E90" s="31" t="n"/>
      <c r="F90" s="28" t="n"/>
      <c r="G90" s="28" t="n"/>
      <c r="H90" s="28" t="n"/>
    </row>
    <row r="91">
      <c r="A91" s="26" t="n"/>
      <c r="B91" s="27">
        <f>IF($A91="","",TEXT($A91,"YYYY-MM"))</f>
        <v/>
      </c>
      <c r="C91" s="28" t="n"/>
      <c r="D91" s="28" t="n"/>
      <c r="E91" s="31" t="n"/>
      <c r="F91" s="28" t="n"/>
      <c r="G91" s="28" t="n"/>
      <c r="H91" s="28" t="n"/>
    </row>
    <row r="92">
      <c r="A92" s="26" t="n"/>
      <c r="B92" s="27">
        <f>IF($A92="","",TEXT($A92,"YYYY-MM"))</f>
        <v/>
      </c>
      <c r="C92" s="28" t="n"/>
      <c r="D92" s="28" t="n"/>
      <c r="E92" s="31" t="n"/>
      <c r="F92" s="28" t="n"/>
      <c r="G92" s="28" t="n"/>
      <c r="H92" s="28" t="n"/>
    </row>
    <row r="93">
      <c r="A93" s="26" t="n"/>
      <c r="B93" s="27">
        <f>IF($A93="","",TEXT($A93,"YYYY-MM"))</f>
        <v/>
      </c>
      <c r="C93" s="28" t="n"/>
      <c r="D93" s="28" t="n"/>
      <c r="E93" s="31" t="n"/>
      <c r="F93" s="28" t="n"/>
      <c r="G93" s="28" t="n"/>
      <c r="H93" s="28" t="n"/>
    </row>
    <row r="94">
      <c r="A94" s="26" t="n"/>
      <c r="B94" s="27">
        <f>IF($A94="","",TEXT($A94,"YYYY-MM"))</f>
        <v/>
      </c>
      <c r="C94" s="28" t="n"/>
      <c r="D94" s="28" t="n"/>
      <c r="E94" s="31" t="n"/>
      <c r="F94" s="28" t="n"/>
      <c r="G94" s="28" t="n"/>
      <c r="H94" s="28" t="n"/>
    </row>
    <row r="95">
      <c r="A95" s="26" t="n"/>
      <c r="B95" s="27">
        <f>IF($A95="","",TEXT($A95,"YYYY-MM"))</f>
        <v/>
      </c>
      <c r="C95" s="28" t="n"/>
      <c r="D95" s="28" t="n"/>
      <c r="E95" s="31" t="n"/>
      <c r="F95" s="28" t="n"/>
      <c r="G95" s="28" t="n"/>
      <c r="H95" s="28" t="n"/>
    </row>
    <row r="96">
      <c r="A96" s="26" t="n"/>
      <c r="B96" s="27">
        <f>IF($A96="","",TEXT($A96,"YYYY-MM"))</f>
        <v/>
      </c>
      <c r="C96" s="28" t="n"/>
      <c r="D96" s="28" t="n"/>
      <c r="E96" s="31" t="n"/>
      <c r="F96" s="28" t="n"/>
      <c r="G96" s="28" t="n"/>
      <c r="H96" s="28" t="n"/>
    </row>
    <row r="97">
      <c r="A97" s="26" t="n"/>
      <c r="B97" s="27">
        <f>IF($A97="","",TEXT($A97,"YYYY-MM"))</f>
        <v/>
      </c>
      <c r="C97" s="28" t="n"/>
      <c r="D97" s="28" t="n"/>
      <c r="E97" s="31" t="n"/>
      <c r="F97" s="28" t="n"/>
      <c r="G97" s="28" t="n"/>
      <c r="H97" s="28" t="n"/>
    </row>
    <row r="98">
      <c r="A98" s="26" t="n"/>
      <c r="B98" s="27">
        <f>IF($A98="","",TEXT($A98,"YYYY-MM"))</f>
        <v/>
      </c>
      <c r="C98" s="28" t="n"/>
      <c r="D98" s="28" t="n"/>
      <c r="E98" s="31" t="n"/>
      <c r="F98" s="28" t="n"/>
      <c r="G98" s="28" t="n"/>
      <c r="H98" s="28" t="n"/>
    </row>
    <row r="99">
      <c r="A99" s="26" t="n"/>
      <c r="B99" s="27">
        <f>IF($A99="","",TEXT($A99,"YYYY-MM"))</f>
        <v/>
      </c>
      <c r="C99" s="28" t="n"/>
      <c r="D99" s="28" t="n"/>
      <c r="E99" s="31" t="n"/>
      <c r="F99" s="28" t="n"/>
      <c r="G99" s="28" t="n"/>
      <c r="H99" s="28" t="n"/>
    </row>
    <row r="100">
      <c r="A100" s="26" t="n"/>
      <c r="B100" s="27">
        <f>IF($A100="","",TEXT($A100,"YYYY-MM"))</f>
        <v/>
      </c>
      <c r="C100" s="28" t="n"/>
      <c r="D100" s="28" t="n"/>
      <c r="E100" s="31" t="n"/>
      <c r="F100" s="28" t="n"/>
      <c r="G100" s="28" t="n"/>
      <c r="H100" s="28" t="n"/>
    </row>
    <row r="101">
      <c r="A101" s="26" t="n"/>
      <c r="B101" s="27">
        <f>IF($A101="","",TEXT($A101,"YYYY-MM"))</f>
        <v/>
      </c>
      <c r="C101" s="28" t="n"/>
      <c r="D101" s="28" t="n"/>
      <c r="E101" s="31" t="n"/>
      <c r="F101" s="28" t="n"/>
      <c r="G101" s="28" t="n"/>
      <c r="H101" s="28" t="n"/>
    </row>
    <row r="102">
      <c r="A102" s="26" t="n"/>
      <c r="B102" s="27">
        <f>IF($A102="","",TEXT($A102,"YYYY-MM"))</f>
        <v/>
      </c>
      <c r="C102" s="28" t="n"/>
      <c r="D102" s="28" t="n"/>
      <c r="E102" s="31" t="n"/>
      <c r="F102" s="28" t="n"/>
      <c r="G102" s="28" t="n"/>
      <c r="H102" s="28" t="n"/>
    </row>
    <row r="103">
      <c r="A103" s="26" t="n"/>
      <c r="B103" s="27">
        <f>IF($A103="","",TEXT($A103,"YYYY-MM"))</f>
        <v/>
      </c>
      <c r="C103" s="28" t="n"/>
      <c r="D103" s="28" t="n"/>
      <c r="E103" s="31" t="n"/>
      <c r="F103" s="28" t="n"/>
      <c r="G103" s="28" t="n"/>
      <c r="H103" s="28" t="n"/>
    </row>
    <row r="104">
      <c r="A104" s="26" t="n"/>
      <c r="B104" s="27">
        <f>IF($A104="","",TEXT($A104,"YYYY-MM"))</f>
        <v/>
      </c>
      <c r="C104" s="28" t="n"/>
      <c r="D104" s="28" t="n"/>
      <c r="E104" s="31" t="n"/>
      <c r="F104" s="28" t="n"/>
      <c r="G104" s="28" t="n"/>
      <c r="H104" s="28" t="n"/>
    </row>
    <row r="105">
      <c r="A105" s="26" t="n"/>
      <c r="B105" s="27">
        <f>IF($A105="","",TEXT($A105,"YYYY-MM"))</f>
        <v/>
      </c>
      <c r="C105" s="28" t="n"/>
      <c r="D105" s="28" t="n"/>
      <c r="E105" s="31" t="n"/>
      <c r="F105" s="28" t="n"/>
      <c r="G105" s="28" t="n"/>
      <c r="H105" s="28" t="n"/>
    </row>
    <row r="106">
      <c r="A106" s="26" t="n"/>
      <c r="B106" s="27">
        <f>IF($A106="","",TEXT($A106,"YYYY-MM"))</f>
        <v/>
      </c>
      <c r="C106" s="28" t="n"/>
      <c r="D106" s="28" t="n"/>
      <c r="E106" s="31" t="n"/>
      <c r="F106" s="28" t="n"/>
      <c r="G106" s="28" t="n"/>
      <c r="H106" s="28" t="n"/>
    </row>
    <row r="107">
      <c r="A107" s="26" t="n"/>
      <c r="B107" s="27">
        <f>IF($A107="","",TEXT($A107,"YYYY-MM"))</f>
        <v/>
      </c>
      <c r="C107" s="28" t="n"/>
      <c r="D107" s="28" t="n"/>
      <c r="E107" s="31" t="n"/>
      <c r="F107" s="28" t="n"/>
      <c r="G107" s="28" t="n"/>
      <c r="H107" s="28" t="n"/>
    </row>
    <row r="108">
      <c r="A108" s="26" t="n"/>
      <c r="B108" s="27">
        <f>IF($A108="","",TEXT($A108,"YYYY-MM"))</f>
        <v/>
      </c>
      <c r="C108" s="28" t="n"/>
      <c r="D108" s="28" t="n"/>
      <c r="E108" s="31" t="n"/>
      <c r="F108" s="28" t="n"/>
      <c r="G108" s="28" t="n"/>
      <c r="H108" s="28" t="n"/>
    </row>
    <row r="109">
      <c r="A109" s="26" t="n"/>
      <c r="B109" s="27">
        <f>IF($A109="","",TEXT($A109,"YYYY-MM"))</f>
        <v/>
      </c>
      <c r="C109" s="28" t="n"/>
      <c r="D109" s="28" t="n"/>
      <c r="E109" s="31" t="n"/>
      <c r="F109" s="28" t="n"/>
      <c r="G109" s="28" t="n"/>
      <c r="H109" s="28" t="n"/>
    </row>
    <row r="110">
      <c r="A110" s="26" t="n"/>
      <c r="B110" s="27">
        <f>IF($A110="","",TEXT($A110,"YYYY-MM"))</f>
        <v/>
      </c>
      <c r="C110" s="28" t="n"/>
      <c r="D110" s="28" t="n"/>
      <c r="E110" s="31" t="n"/>
      <c r="F110" s="28" t="n"/>
      <c r="G110" s="28" t="n"/>
      <c r="H110" s="28" t="n"/>
    </row>
    <row r="111">
      <c r="A111" s="26" t="n"/>
      <c r="B111" s="27">
        <f>IF($A111="","",TEXT($A111,"YYYY-MM"))</f>
        <v/>
      </c>
      <c r="C111" s="28" t="n"/>
      <c r="D111" s="28" t="n"/>
      <c r="E111" s="31" t="n"/>
      <c r="F111" s="28" t="n"/>
      <c r="G111" s="28" t="n"/>
      <c r="H111" s="28" t="n"/>
    </row>
    <row r="112">
      <c r="A112" s="26" t="n"/>
      <c r="B112" s="27">
        <f>IF($A112="","",TEXT($A112,"YYYY-MM"))</f>
        <v/>
      </c>
      <c r="C112" s="28" t="n"/>
      <c r="D112" s="28" t="n"/>
      <c r="E112" s="31" t="n"/>
      <c r="F112" s="28" t="n"/>
      <c r="G112" s="28" t="n"/>
      <c r="H112" s="28" t="n"/>
    </row>
    <row r="113">
      <c r="A113" s="26" t="n"/>
      <c r="B113" s="27">
        <f>IF($A113="","",TEXT($A113,"YYYY-MM"))</f>
        <v/>
      </c>
      <c r="C113" s="28" t="n"/>
      <c r="D113" s="28" t="n"/>
      <c r="E113" s="31" t="n"/>
      <c r="F113" s="28" t="n"/>
      <c r="G113" s="28" t="n"/>
      <c r="H113" s="28" t="n"/>
    </row>
    <row r="114">
      <c r="A114" s="26" t="n"/>
      <c r="B114" s="27">
        <f>IF($A114="","",TEXT($A114,"YYYY-MM"))</f>
        <v/>
      </c>
      <c r="C114" s="28" t="n"/>
      <c r="D114" s="28" t="n"/>
      <c r="E114" s="31" t="n"/>
      <c r="F114" s="28" t="n"/>
      <c r="G114" s="28" t="n"/>
      <c r="H114" s="28" t="n"/>
    </row>
    <row r="115">
      <c r="A115" s="26" t="n"/>
      <c r="B115" s="27">
        <f>IF($A115="","",TEXT($A115,"YYYY-MM"))</f>
        <v/>
      </c>
      <c r="C115" s="28" t="n"/>
      <c r="D115" s="28" t="n"/>
      <c r="E115" s="31" t="n"/>
      <c r="F115" s="28" t="n"/>
      <c r="G115" s="28" t="n"/>
      <c r="H115" s="28" t="n"/>
    </row>
    <row r="116">
      <c r="A116" s="26" t="n"/>
      <c r="B116" s="27">
        <f>IF($A116="","",TEXT($A116,"YYYY-MM"))</f>
        <v/>
      </c>
      <c r="C116" s="28" t="n"/>
      <c r="D116" s="28" t="n"/>
      <c r="E116" s="31" t="n"/>
      <c r="F116" s="28" t="n"/>
      <c r="G116" s="28" t="n"/>
      <c r="H116" s="28" t="n"/>
    </row>
    <row r="117">
      <c r="A117" s="26" t="n"/>
      <c r="B117" s="27">
        <f>IF($A117="","",TEXT($A117,"YYYY-MM"))</f>
        <v/>
      </c>
      <c r="C117" s="28" t="n"/>
      <c r="D117" s="28" t="n"/>
      <c r="E117" s="31" t="n"/>
      <c r="F117" s="28" t="n"/>
      <c r="G117" s="28" t="n"/>
      <c r="H117" s="28" t="n"/>
    </row>
    <row r="118">
      <c r="A118" s="26" t="n"/>
      <c r="B118" s="27">
        <f>IF($A118="","",TEXT($A118,"YYYY-MM"))</f>
        <v/>
      </c>
      <c r="C118" s="28" t="n"/>
      <c r="D118" s="28" t="n"/>
      <c r="E118" s="31" t="n"/>
      <c r="F118" s="28" t="n"/>
      <c r="G118" s="28" t="n"/>
      <c r="H118" s="28" t="n"/>
    </row>
    <row r="119">
      <c r="A119" s="26" t="n"/>
      <c r="B119" s="27">
        <f>IF($A119="","",TEXT($A119,"YYYY-MM"))</f>
        <v/>
      </c>
      <c r="C119" s="28" t="n"/>
      <c r="D119" s="28" t="n"/>
      <c r="E119" s="31" t="n"/>
      <c r="F119" s="28" t="n"/>
      <c r="G119" s="28" t="n"/>
      <c r="H119" s="28" t="n"/>
    </row>
    <row r="120">
      <c r="A120" s="26" t="n"/>
      <c r="B120" s="27">
        <f>IF($A120="","",TEXT($A120,"YYYY-MM"))</f>
        <v/>
      </c>
      <c r="C120" s="28" t="n"/>
      <c r="D120" s="28" t="n"/>
      <c r="E120" s="31" t="n"/>
      <c r="F120" s="28" t="n"/>
      <c r="G120" s="28" t="n"/>
      <c r="H120" s="28" t="n"/>
    </row>
    <row r="121">
      <c r="A121" s="26" t="n"/>
      <c r="B121" s="27">
        <f>IF($A121="","",TEXT($A121,"YYYY-MM"))</f>
        <v/>
      </c>
      <c r="C121" s="28" t="n"/>
      <c r="D121" s="28" t="n"/>
      <c r="E121" s="31" t="n"/>
      <c r="F121" s="28" t="n"/>
      <c r="G121" s="28" t="n"/>
      <c r="H121" s="28" t="n"/>
    </row>
    <row r="122">
      <c r="A122" s="26" t="n"/>
      <c r="B122" s="27">
        <f>IF($A122="","",TEXT($A122,"YYYY-MM"))</f>
        <v/>
      </c>
      <c r="C122" s="28" t="n"/>
      <c r="D122" s="28" t="n"/>
      <c r="E122" s="31" t="n"/>
      <c r="F122" s="28" t="n"/>
      <c r="G122" s="28" t="n"/>
      <c r="H122" s="28" t="n"/>
    </row>
    <row r="123">
      <c r="A123" s="26" t="n"/>
      <c r="B123" s="27">
        <f>IF($A123="","",TEXT($A123,"YYYY-MM"))</f>
        <v/>
      </c>
      <c r="C123" s="28" t="n"/>
      <c r="D123" s="28" t="n"/>
      <c r="E123" s="31" t="n"/>
      <c r="F123" s="28" t="n"/>
      <c r="G123" s="28" t="n"/>
      <c r="H123" s="28" t="n"/>
    </row>
    <row r="124">
      <c r="A124" s="26" t="n"/>
      <c r="B124" s="27">
        <f>IF($A124="","",TEXT($A124,"YYYY-MM"))</f>
        <v/>
      </c>
      <c r="C124" s="28" t="n"/>
      <c r="D124" s="28" t="n"/>
      <c r="E124" s="31" t="n"/>
      <c r="F124" s="28" t="n"/>
      <c r="G124" s="28" t="n"/>
      <c r="H124" s="28" t="n"/>
    </row>
    <row r="125">
      <c r="A125" s="26" t="n"/>
      <c r="B125" s="27">
        <f>IF($A125="","",TEXT($A125,"YYYY-MM"))</f>
        <v/>
      </c>
      <c r="C125" s="28" t="n"/>
      <c r="D125" s="28" t="n"/>
      <c r="E125" s="31" t="n"/>
      <c r="F125" s="28" t="n"/>
      <c r="G125" s="28" t="n"/>
      <c r="H125" s="28" t="n"/>
    </row>
    <row r="126">
      <c r="A126" s="26" t="n"/>
      <c r="B126" s="27">
        <f>IF($A126="","",TEXT($A126,"YYYY-MM"))</f>
        <v/>
      </c>
      <c r="C126" s="28" t="n"/>
      <c r="D126" s="28" t="n"/>
      <c r="E126" s="31" t="n"/>
      <c r="F126" s="28" t="n"/>
      <c r="G126" s="28" t="n"/>
      <c r="H126" s="28" t="n"/>
    </row>
    <row r="127">
      <c r="A127" s="26" t="n"/>
      <c r="B127" s="27">
        <f>IF($A127="","",TEXT($A127,"YYYY-MM"))</f>
        <v/>
      </c>
      <c r="C127" s="28" t="n"/>
      <c r="D127" s="28" t="n"/>
      <c r="E127" s="31" t="n"/>
      <c r="F127" s="28" t="n"/>
      <c r="G127" s="28" t="n"/>
      <c r="H127" s="28" t="n"/>
    </row>
    <row r="128">
      <c r="A128" s="26" t="n"/>
      <c r="B128" s="27">
        <f>IF($A128="","",TEXT($A128,"YYYY-MM"))</f>
        <v/>
      </c>
      <c r="C128" s="28" t="n"/>
      <c r="D128" s="28" t="n"/>
      <c r="E128" s="31" t="n"/>
      <c r="F128" s="28" t="n"/>
      <c r="G128" s="28" t="n"/>
      <c r="H128" s="28" t="n"/>
    </row>
    <row r="129">
      <c r="A129" s="26" t="n"/>
      <c r="B129" s="27">
        <f>IF($A129="","",TEXT($A129,"YYYY-MM"))</f>
        <v/>
      </c>
      <c r="C129" s="28" t="n"/>
      <c r="D129" s="28" t="n"/>
      <c r="E129" s="31" t="n"/>
      <c r="F129" s="28" t="n"/>
      <c r="G129" s="28" t="n"/>
      <c r="H129" s="28" t="n"/>
    </row>
    <row r="130">
      <c r="A130" s="26" t="n"/>
      <c r="B130" s="27">
        <f>IF($A130="","",TEXT($A130,"YYYY-MM"))</f>
        <v/>
      </c>
      <c r="C130" s="28" t="n"/>
      <c r="D130" s="28" t="n"/>
      <c r="E130" s="31" t="n"/>
      <c r="F130" s="28" t="n"/>
      <c r="G130" s="28" t="n"/>
      <c r="H130" s="28" t="n"/>
    </row>
    <row r="131">
      <c r="A131" s="26" t="n"/>
      <c r="B131" s="27">
        <f>IF($A131="","",TEXT($A131,"YYYY-MM"))</f>
        <v/>
      </c>
      <c r="C131" s="28" t="n"/>
      <c r="D131" s="28" t="n"/>
      <c r="E131" s="31" t="n"/>
      <c r="F131" s="28" t="n"/>
      <c r="G131" s="28" t="n"/>
      <c r="H131" s="28" t="n"/>
    </row>
    <row r="132">
      <c r="A132" s="26" t="n"/>
      <c r="B132" s="27">
        <f>IF($A132="","",TEXT($A132,"YYYY-MM"))</f>
        <v/>
      </c>
      <c r="C132" s="28" t="n"/>
      <c r="D132" s="28" t="n"/>
      <c r="E132" s="31" t="n"/>
      <c r="F132" s="28" t="n"/>
      <c r="G132" s="28" t="n"/>
      <c r="H132" s="28" t="n"/>
    </row>
    <row r="133">
      <c r="A133" s="26" t="n"/>
      <c r="B133" s="27">
        <f>IF($A133="","",TEXT($A133,"YYYY-MM"))</f>
        <v/>
      </c>
      <c r="C133" s="28" t="n"/>
      <c r="D133" s="28" t="n"/>
      <c r="E133" s="31" t="n"/>
      <c r="F133" s="28" t="n"/>
      <c r="G133" s="28" t="n"/>
      <c r="H133" s="28" t="n"/>
    </row>
    <row r="134">
      <c r="A134" s="26" t="n"/>
      <c r="B134" s="27">
        <f>IF($A134="","",TEXT($A134,"YYYY-MM"))</f>
        <v/>
      </c>
      <c r="C134" s="28" t="n"/>
      <c r="D134" s="28" t="n"/>
      <c r="E134" s="31" t="n"/>
      <c r="F134" s="28" t="n"/>
      <c r="G134" s="28" t="n"/>
      <c r="H134" s="28" t="n"/>
    </row>
    <row r="135">
      <c r="A135" s="26" t="n"/>
      <c r="B135" s="27">
        <f>IF($A135="","",TEXT($A135,"YYYY-MM"))</f>
        <v/>
      </c>
      <c r="C135" s="28" t="n"/>
      <c r="D135" s="28" t="n"/>
      <c r="E135" s="31" t="n"/>
      <c r="F135" s="28" t="n"/>
      <c r="G135" s="28" t="n"/>
      <c r="H135" s="28" t="n"/>
    </row>
    <row r="136">
      <c r="A136" s="26" t="n"/>
      <c r="B136" s="27">
        <f>IF($A136="","",TEXT($A136,"YYYY-MM"))</f>
        <v/>
      </c>
      <c r="C136" s="28" t="n"/>
      <c r="D136" s="28" t="n"/>
      <c r="E136" s="31" t="n"/>
      <c r="F136" s="28" t="n"/>
      <c r="G136" s="28" t="n"/>
      <c r="H136" s="28" t="n"/>
    </row>
    <row r="137">
      <c r="A137" s="26" t="n"/>
      <c r="B137" s="27">
        <f>IF($A137="","",TEXT($A137,"YYYY-MM"))</f>
        <v/>
      </c>
      <c r="C137" s="28" t="n"/>
      <c r="D137" s="28" t="n"/>
      <c r="E137" s="31" t="n"/>
      <c r="F137" s="28" t="n"/>
      <c r="G137" s="28" t="n"/>
      <c r="H137" s="28" t="n"/>
    </row>
    <row r="138">
      <c r="A138" s="26" t="n"/>
      <c r="B138" s="27">
        <f>IF($A138="","",TEXT($A138,"YYYY-MM"))</f>
        <v/>
      </c>
      <c r="C138" s="28" t="n"/>
      <c r="D138" s="28" t="n"/>
      <c r="E138" s="31" t="n"/>
      <c r="F138" s="28" t="n"/>
      <c r="G138" s="28" t="n"/>
      <c r="H138" s="28" t="n"/>
    </row>
    <row r="139">
      <c r="A139" s="26" t="n"/>
      <c r="B139" s="27">
        <f>IF($A139="","",TEXT($A139,"YYYY-MM"))</f>
        <v/>
      </c>
      <c r="C139" s="28" t="n"/>
      <c r="D139" s="28" t="n"/>
      <c r="E139" s="31" t="n"/>
      <c r="F139" s="28" t="n"/>
      <c r="G139" s="28" t="n"/>
      <c r="H139" s="28" t="n"/>
    </row>
    <row r="140">
      <c r="A140" s="26" t="n"/>
      <c r="B140" s="27">
        <f>IF($A140="","",TEXT($A140,"YYYY-MM"))</f>
        <v/>
      </c>
      <c r="C140" s="28" t="n"/>
      <c r="D140" s="28" t="n"/>
      <c r="E140" s="31" t="n"/>
      <c r="F140" s="28" t="n"/>
      <c r="G140" s="28" t="n"/>
      <c r="H140" s="28" t="n"/>
    </row>
    <row r="141">
      <c r="A141" s="26" t="n"/>
      <c r="B141" s="27">
        <f>IF($A141="","",TEXT($A141,"YYYY-MM"))</f>
        <v/>
      </c>
      <c r="C141" s="28" t="n"/>
      <c r="D141" s="28" t="n"/>
      <c r="E141" s="31" t="n"/>
      <c r="F141" s="28" t="n"/>
      <c r="G141" s="28" t="n"/>
      <c r="H141" s="28" t="n"/>
    </row>
    <row r="142">
      <c r="A142" s="26" t="n"/>
      <c r="B142" s="27">
        <f>IF($A142="","",TEXT($A142,"YYYY-MM"))</f>
        <v/>
      </c>
      <c r="C142" s="28" t="n"/>
      <c r="D142" s="28" t="n"/>
      <c r="E142" s="31" t="n"/>
      <c r="F142" s="28" t="n"/>
      <c r="G142" s="28" t="n"/>
      <c r="H142" s="28" t="n"/>
    </row>
    <row r="143">
      <c r="A143" s="26" t="n"/>
      <c r="B143" s="27">
        <f>IF($A143="","",TEXT($A143,"YYYY-MM"))</f>
        <v/>
      </c>
      <c r="C143" s="28" t="n"/>
      <c r="D143" s="28" t="n"/>
      <c r="E143" s="31" t="n"/>
      <c r="F143" s="28" t="n"/>
      <c r="G143" s="28" t="n"/>
      <c r="H143" s="28" t="n"/>
    </row>
    <row r="144">
      <c r="A144" s="26" t="n"/>
      <c r="B144" s="27">
        <f>IF($A144="","",TEXT($A144,"YYYY-MM"))</f>
        <v/>
      </c>
      <c r="C144" s="28" t="n"/>
      <c r="D144" s="28" t="n"/>
      <c r="E144" s="31" t="n"/>
      <c r="F144" s="28" t="n"/>
      <c r="G144" s="28" t="n"/>
      <c r="H144" s="28" t="n"/>
    </row>
    <row r="145">
      <c r="A145" s="26" t="n"/>
      <c r="B145" s="27">
        <f>IF($A145="","",TEXT($A145,"YYYY-MM"))</f>
        <v/>
      </c>
      <c r="C145" s="28" t="n"/>
      <c r="D145" s="28" t="n"/>
      <c r="E145" s="31" t="n"/>
      <c r="F145" s="28" t="n"/>
      <c r="G145" s="28" t="n"/>
      <c r="H145" s="28" t="n"/>
    </row>
    <row r="146">
      <c r="A146" s="26" t="n"/>
      <c r="B146" s="27">
        <f>IF($A146="","",TEXT($A146,"YYYY-MM"))</f>
        <v/>
      </c>
      <c r="C146" s="28" t="n"/>
      <c r="D146" s="28" t="n"/>
      <c r="E146" s="31" t="n"/>
      <c r="F146" s="28" t="n"/>
      <c r="G146" s="28" t="n"/>
      <c r="H146" s="28" t="n"/>
    </row>
    <row r="147">
      <c r="A147" s="26" t="n"/>
      <c r="B147" s="27">
        <f>IF($A147="","",TEXT($A147,"YYYY-MM"))</f>
        <v/>
      </c>
      <c r="C147" s="28" t="n"/>
      <c r="D147" s="28" t="n"/>
      <c r="E147" s="31" t="n"/>
      <c r="F147" s="28" t="n"/>
      <c r="G147" s="28" t="n"/>
      <c r="H147" s="28" t="n"/>
    </row>
    <row r="148">
      <c r="A148" s="26" t="n"/>
      <c r="B148" s="27">
        <f>IF($A148="","",TEXT($A148,"YYYY-MM"))</f>
        <v/>
      </c>
      <c r="C148" s="28" t="n"/>
      <c r="D148" s="28" t="n"/>
      <c r="E148" s="31" t="n"/>
      <c r="F148" s="28" t="n"/>
      <c r="G148" s="28" t="n"/>
      <c r="H148" s="28" t="n"/>
    </row>
    <row r="149">
      <c r="A149" s="26" t="n"/>
      <c r="B149" s="27">
        <f>IF($A149="","",TEXT($A149,"YYYY-MM"))</f>
        <v/>
      </c>
      <c r="C149" s="28" t="n"/>
      <c r="D149" s="28" t="n"/>
      <c r="E149" s="31" t="n"/>
      <c r="F149" s="28" t="n"/>
      <c r="G149" s="28" t="n"/>
      <c r="H149" s="28" t="n"/>
    </row>
    <row r="150">
      <c r="A150" s="26" t="n"/>
      <c r="B150" s="27">
        <f>IF($A150="","",TEXT($A150,"YYYY-MM"))</f>
        <v/>
      </c>
      <c r="C150" s="28" t="n"/>
      <c r="D150" s="28" t="n"/>
      <c r="E150" s="31" t="n"/>
      <c r="F150" s="28" t="n"/>
      <c r="G150" s="28" t="n"/>
      <c r="H150" s="28" t="n"/>
    </row>
    <row r="151">
      <c r="A151" s="26" t="n"/>
      <c r="B151" s="27">
        <f>IF($A151="","",TEXT($A151,"YYYY-MM"))</f>
        <v/>
      </c>
      <c r="C151" s="28" t="n"/>
      <c r="D151" s="28" t="n"/>
      <c r="E151" s="31" t="n"/>
      <c r="F151" s="28" t="n"/>
      <c r="G151" s="28" t="n"/>
      <c r="H151" s="28" t="n"/>
    </row>
    <row r="152">
      <c r="A152" s="26" t="n"/>
      <c r="B152" s="27">
        <f>IF($A152="","",TEXT($A152,"YYYY-MM"))</f>
        <v/>
      </c>
      <c r="C152" s="28" t="n"/>
      <c r="D152" s="28" t="n"/>
      <c r="E152" s="31" t="n"/>
      <c r="F152" s="28" t="n"/>
      <c r="G152" s="28" t="n"/>
      <c r="H152" s="28" t="n"/>
    </row>
    <row r="153">
      <c r="A153" s="26" t="n"/>
      <c r="B153" s="27">
        <f>IF($A153="","",TEXT($A153,"YYYY-MM"))</f>
        <v/>
      </c>
      <c r="C153" s="28" t="n"/>
      <c r="D153" s="28" t="n"/>
      <c r="E153" s="31" t="n"/>
      <c r="F153" s="28" t="n"/>
      <c r="G153" s="28" t="n"/>
      <c r="H153" s="28" t="n"/>
    </row>
    <row r="154">
      <c r="A154" s="26" t="n"/>
      <c r="B154" s="27">
        <f>IF($A154="","",TEXT($A154,"YYYY-MM"))</f>
        <v/>
      </c>
      <c r="C154" s="28" t="n"/>
      <c r="D154" s="28" t="n"/>
      <c r="E154" s="31" t="n"/>
      <c r="F154" s="28" t="n"/>
      <c r="G154" s="28" t="n"/>
      <c r="H154" s="28" t="n"/>
    </row>
    <row r="155">
      <c r="A155" s="26" t="n"/>
      <c r="B155" s="27">
        <f>IF($A155="","",TEXT($A155,"YYYY-MM"))</f>
        <v/>
      </c>
      <c r="C155" s="28" t="n"/>
      <c r="D155" s="28" t="n"/>
      <c r="E155" s="31" t="n"/>
      <c r="F155" s="28" t="n"/>
      <c r="G155" s="28" t="n"/>
      <c r="H155" s="28" t="n"/>
    </row>
    <row r="156">
      <c r="A156" s="26" t="n"/>
      <c r="B156" s="27">
        <f>IF($A156="","",TEXT($A156,"YYYY-MM"))</f>
        <v/>
      </c>
      <c r="C156" s="28" t="n"/>
      <c r="D156" s="28" t="n"/>
      <c r="E156" s="31" t="n"/>
      <c r="F156" s="28" t="n"/>
      <c r="G156" s="28" t="n"/>
      <c r="H156" s="28" t="n"/>
    </row>
    <row r="157">
      <c r="A157" s="26" t="n"/>
      <c r="B157" s="27">
        <f>IF($A157="","",TEXT($A157,"YYYY-MM"))</f>
        <v/>
      </c>
      <c r="C157" s="28" t="n"/>
      <c r="D157" s="28" t="n"/>
      <c r="E157" s="31" t="n"/>
      <c r="F157" s="28" t="n"/>
      <c r="G157" s="28" t="n"/>
      <c r="H157" s="28" t="n"/>
    </row>
    <row r="158">
      <c r="A158" s="26" t="n"/>
      <c r="B158" s="27">
        <f>IF($A158="","",TEXT($A158,"YYYY-MM"))</f>
        <v/>
      </c>
      <c r="C158" s="28" t="n"/>
      <c r="D158" s="28" t="n"/>
      <c r="E158" s="31" t="n"/>
      <c r="F158" s="28" t="n"/>
      <c r="G158" s="28" t="n"/>
      <c r="H158" s="28" t="n"/>
    </row>
    <row r="159">
      <c r="A159" s="26" t="n"/>
      <c r="B159" s="27">
        <f>IF($A159="","",TEXT($A159,"YYYY-MM"))</f>
        <v/>
      </c>
      <c r="C159" s="28" t="n"/>
      <c r="D159" s="28" t="n"/>
      <c r="E159" s="31" t="n"/>
      <c r="F159" s="28" t="n"/>
      <c r="G159" s="28" t="n"/>
      <c r="H159" s="28" t="n"/>
    </row>
    <row r="160">
      <c r="A160" s="26" t="n"/>
      <c r="B160" s="27">
        <f>IF($A160="","",TEXT($A160,"YYYY-MM"))</f>
        <v/>
      </c>
      <c r="C160" s="28" t="n"/>
      <c r="D160" s="28" t="n"/>
      <c r="E160" s="31" t="n"/>
      <c r="F160" s="28" t="n"/>
      <c r="G160" s="28" t="n"/>
      <c r="H160" s="28" t="n"/>
    </row>
    <row r="161">
      <c r="A161" s="26" t="n"/>
      <c r="B161" s="27">
        <f>IF($A161="","",TEXT($A161,"YYYY-MM"))</f>
        <v/>
      </c>
      <c r="C161" s="28" t="n"/>
      <c r="D161" s="28" t="n"/>
      <c r="E161" s="31" t="n"/>
      <c r="F161" s="28" t="n"/>
      <c r="G161" s="28" t="n"/>
      <c r="H161" s="28" t="n"/>
    </row>
    <row r="162">
      <c r="A162" s="26" t="n"/>
      <c r="B162" s="27">
        <f>IF($A162="","",TEXT($A162,"YYYY-MM"))</f>
        <v/>
      </c>
      <c r="C162" s="28" t="n"/>
      <c r="D162" s="28" t="n"/>
      <c r="E162" s="31" t="n"/>
      <c r="F162" s="28" t="n"/>
      <c r="G162" s="28" t="n"/>
      <c r="H162" s="28" t="n"/>
    </row>
    <row r="163">
      <c r="A163" s="26" t="n"/>
      <c r="B163" s="27">
        <f>IF($A163="","",TEXT($A163,"YYYY-MM"))</f>
        <v/>
      </c>
      <c r="C163" s="28" t="n"/>
      <c r="D163" s="28" t="n"/>
      <c r="E163" s="31" t="n"/>
      <c r="F163" s="28" t="n"/>
      <c r="G163" s="28" t="n"/>
      <c r="H163" s="28" t="n"/>
    </row>
    <row r="164">
      <c r="A164" s="26" t="n"/>
      <c r="B164" s="27">
        <f>IF($A164="","",TEXT($A164,"YYYY-MM"))</f>
        <v/>
      </c>
      <c r="C164" s="28" t="n"/>
      <c r="D164" s="28" t="n"/>
      <c r="E164" s="31" t="n"/>
      <c r="F164" s="28" t="n"/>
      <c r="G164" s="28" t="n"/>
      <c r="H164" s="28" t="n"/>
    </row>
    <row r="165">
      <c r="A165" s="26" t="n"/>
      <c r="B165" s="27">
        <f>IF($A165="","",TEXT($A165,"YYYY-MM"))</f>
        <v/>
      </c>
      <c r="C165" s="28" t="n"/>
      <c r="D165" s="28" t="n"/>
      <c r="E165" s="31" t="n"/>
      <c r="F165" s="28" t="n"/>
      <c r="G165" s="28" t="n"/>
      <c r="H165" s="28" t="n"/>
    </row>
    <row r="166">
      <c r="A166" s="26" t="n"/>
      <c r="B166" s="27">
        <f>IF($A166="","",TEXT($A166,"YYYY-MM"))</f>
        <v/>
      </c>
      <c r="C166" s="28" t="n"/>
      <c r="D166" s="28" t="n"/>
      <c r="E166" s="31" t="n"/>
      <c r="F166" s="28" t="n"/>
      <c r="G166" s="28" t="n"/>
      <c r="H166" s="28" t="n"/>
    </row>
    <row r="167">
      <c r="A167" s="26" t="n"/>
      <c r="B167" s="27">
        <f>IF($A167="","",TEXT($A167,"YYYY-MM"))</f>
        <v/>
      </c>
      <c r="C167" s="28" t="n"/>
      <c r="D167" s="28" t="n"/>
      <c r="E167" s="31" t="n"/>
      <c r="F167" s="28" t="n"/>
      <c r="G167" s="28" t="n"/>
      <c r="H167" s="28" t="n"/>
    </row>
    <row r="168">
      <c r="A168" s="26" t="n"/>
      <c r="B168" s="27">
        <f>IF($A168="","",TEXT($A168,"YYYY-MM"))</f>
        <v/>
      </c>
      <c r="C168" s="28" t="n"/>
      <c r="D168" s="28" t="n"/>
      <c r="E168" s="31" t="n"/>
      <c r="F168" s="28" t="n"/>
      <c r="G168" s="28" t="n"/>
      <c r="H168" s="28" t="n"/>
    </row>
    <row r="169">
      <c r="A169" s="26" t="n"/>
      <c r="B169" s="27">
        <f>IF($A169="","",TEXT($A169,"YYYY-MM"))</f>
        <v/>
      </c>
      <c r="C169" s="28" t="n"/>
      <c r="D169" s="28" t="n"/>
      <c r="E169" s="31" t="n"/>
      <c r="F169" s="28" t="n"/>
      <c r="G169" s="28" t="n"/>
      <c r="H169" s="28" t="n"/>
    </row>
    <row r="170">
      <c r="A170" s="26" t="n"/>
      <c r="B170" s="27">
        <f>IF($A170="","",TEXT($A170,"YYYY-MM"))</f>
        <v/>
      </c>
      <c r="C170" s="28" t="n"/>
      <c r="D170" s="28" t="n"/>
      <c r="E170" s="31" t="n"/>
      <c r="F170" s="28" t="n"/>
      <c r="G170" s="28" t="n"/>
      <c r="H170" s="28" t="n"/>
    </row>
    <row r="171">
      <c r="A171" s="26" t="n"/>
      <c r="B171" s="27">
        <f>IF($A171="","",TEXT($A171,"YYYY-MM"))</f>
        <v/>
      </c>
      <c r="C171" s="28" t="n"/>
      <c r="D171" s="28" t="n"/>
      <c r="E171" s="31" t="n"/>
      <c r="F171" s="28" t="n"/>
      <c r="G171" s="28" t="n"/>
      <c r="H171" s="28" t="n"/>
    </row>
    <row r="172">
      <c r="A172" s="26" t="n"/>
      <c r="B172" s="27">
        <f>IF($A172="","",TEXT($A172,"YYYY-MM"))</f>
        <v/>
      </c>
      <c r="C172" s="28" t="n"/>
      <c r="D172" s="28" t="n"/>
      <c r="E172" s="31" t="n"/>
      <c r="F172" s="28" t="n"/>
      <c r="G172" s="28" t="n"/>
      <c r="H172" s="28" t="n"/>
    </row>
    <row r="173">
      <c r="A173" s="26" t="n"/>
      <c r="B173" s="27">
        <f>IF($A173="","",TEXT($A173,"YYYY-MM"))</f>
        <v/>
      </c>
      <c r="C173" s="28" t="n"/>
      <c r="D173" s="28" t="n"/>
      <c r="E173" s="31" t="n"/>
      <c r="F173" s="28" t="n"/>
      <c r="G173" s="28" t="n"/>
      <c r="H173" s="28" t="n"/>
    </row>
    <row r="174">
      <c r="A174" s="26" t="n"/>
      <c r="B174" s="27">
        <f>IF($A174="","",TEXT($A174,"YYYY-MM"))</f>
        <v/>
      </c>
      <c r="C174" s="28" t="n"/>
      <c r="D174" s="28" t="n"/>
      <c r="E174" s="31" t="n"/>
      <c r="F174" s="28" t="n"/>
      <c r="G174" s="28" t="n"/>
      <c r="H174" s="28" t="n"/>
    </row>
    <row r="175">
      <c r="A175" s="26" t="n"/>
      <c r="B175" s="27">
        <f>IF($A175="","",TEXT($A175,"YYYY-MM"))</f>
        <v/>
      </c>
      <c r="C175" s="28" t="n"/>
      <c r="D175" s="28" t="n"/>
      <c r="E175" s="31" t="n"/>
      <c r="F175" s="28" t="n"/>
      <c r="G175" s="28" t="n"/>
      <c r="H175" s="28" t="n"/>
    </row>
    <row r="176">
      <c r="A176" s="26" t="n"/>
      <c r="B176" s="27">
        <f>IF($A176="","",TEXT($A176,"YYYY-MM"))</f>
        <v/>
      </c>
      <c r="C176" s="28" t="n"/>
      <c r="D176" s="28" t="n"/>
      <c r="E176" s="31" t="n"/>
      <c r="F176" s="28" t="n"/>
      <c r="G176" s="28" t="n"/>
      <c r="H176" s="28" t="n"/>
    </row>
    <row r="177">
      <c r="A177" s="26" t="n"/>
      <c r="B177" s="27">
        <f>IF($A177="","",TEXT($A177,"YYYY-MM"))</f>
        <v/>
      </c>
      <c r="C177" s="28" t="n"/>
      <c r="D177" s="28" t="n"/>
      <c r="E177" s="31" t="n"/>
      <c r="F177" s="28" t="n"/>
      <c r="G177" s="28" t="n"/>
      <c r="H177" s="28" t="n"/>
    </row>
    <row r="178">
      <c r="A178" s="26" t="n"/>
      <c r="B178" s="27">
        <f>IF($A178="","",TEXT($A178,"YYYY-MM"))</f>
        <v/>
      </c>
      <c r="C178" s="28" t="n"/>
      <c r="D178" s="28" t="n"/>
      <c r="E178" s="31" t="n"/>
      <c r="F178" s="28" t="n"/>
      <c r="G178" s="28" t="n"/>
      <c r="H178" s="28" t="n"/>
    </row>
    <row r="179">
      <c r="A179" s="26" t="n"/>
      <c r="B179" s="27">
        <f>IF($A179="","",TEXT($A179,"YYYY-MM"))</f>
        <v/>
      </c>
      <c r="C179" s="28" t="n"/>
      <c r="D179" s="28" t="n"/>
      <c r="E179" s="31" t="n"/>
      <c r="F179" s="28" t="n"/>
      <c r="G179" s="28" t="n"/>
      <c r="H179" s="28" t="n"/>
    </row>
    <row r="180">
      <c r="A180" s="26" t="n"/>
      <c r="B180" s="27">
        <f>IF($A180="","",TEXT($A180,"YYYY-MM"))</f>
        <v/>
      </c>
      <c r="C180" s="28" t="n"/>
      <c r="D180" s="28" t="n"/>
      <c r="E180" s="31" t="n"/>
      <c r="F180" s="28" t="n"/>
      <c r="G180" s="28" t="n"/>
      <c r="H180" s="28" t="n"/>
    </row>
    <row r="181">
      <c r="A181" s="26" t="n"/>
      <c r="B181" s="27">
        <f>IF($A181="","",TEXT($A181,"YYYY-MM"))</f>
        <v/>
      </c>
      <c r="C181" s="28" t="n"/>
      <c r="D181" s="28" t="n"/>
      <c r="E181" s="31" t="n"/>
      <c r="F181" s="28" t="n"/>
      <c r="G181" s="28" t="n"/>
      <c r="H181" s="28" t="n"/>
    </row>
    <row r="182">
      <c r="A182" s="26" t="n"/>
      <c r="B182" s="27">
        <f>IF($A182="","",TEXT($A182,"YYYY-MM"))</f>
        <v/>
      </c>
      <c r="C182" s="28" t="n"/>
      <c r="D182" s="28" t="n"/>
      <c r="E182" s="31" t="n"/>
      <c r="F182" s="28" t="n"/>
      <c r="G182" s="28" t="n"/>
      <c r="H182" s="28" t="n"/>
    </row>
    <row r="183">
      <c r="A183" s="26" t="n"/>
      <c r="B183" s="27">
        <f>IF($A183="","",TEXT($A183,"YYYY-MM"))</f>
        <v/>
      </c>
      <c r="C183" s="28" t="n"/>
      <c r="D183" s="28" t="n"/>
      <c r="E183" s="31" t="n"/>
      <c r="F183" s="28" t="n"/>
      <c r="G183" s="28" t="n"/>
      <c r="H183" s="28" t="n"/>
    </row>
    <row r="184">
      <c r="A184" s="26" t="n"/>
      <c r="B184" s="27">
        <f>IF($A184="","",TEXT($A184,"YYYY-MM"))</f>
        <v/>
      </c>
      <c r="C184" s="28" t="n"/>
      <c r="D184" s="28" t="n"/>
      <c r="E184" s="31" t="n"/>
      <c r="F184" s="28" t="n"/>
      <c r="G184" s="28" t="n"/>
      <c r="H184" s="28" t="n"/>
    </row>
    <row r="185">
      <c r="A185" s="26" t="n"/>
      <c r="B185" s="27">
        <f>IF($A185="","",TEXT($A185,"YYYY-MM"))</f>
        <v/>
      </c>
      <c r="C185" s="28" t="n"/>
      <c r="D185" s="28" t="n"/>
      <c r="E185" s="31" t="n"/>
      <c r="F185" s="28" t="n"/>
      <c r="G185" s="28" t="n"/>
      <c r="H185" s="28" t="n"/>
    </row>
    <row r="186">
      <c r="A186" s="26" t="n"/>
      <c r="B186" s="27">
        <f>IF($A186="","",TEXT($A186,"YYYY-MM"))</f>
        <v/>
      </c>
      <c r="C186" s="28" t="n"/>
      <c r="D186" s="28" t="n"/>
      <c r="E186" s="31" t="n"/>
      <c r="F186" s="28" t="n"/>
      <c r="G186" s="28" t="n"/>
      <c r="H186" s="28" t="n"/>
    </row>
    <row r="187">
      <c r="A187" s="26" t="n"/>
      <c r="B187" s="27">
        <f>IF($A187="","",TEXT($A187,"YYYY-MM"))</f>
        <v/>
      </c>
      <c r="C187" s="28" t="n"/>
      <c r="D187" s="28" t="n"/>
      <c r="E187" s="31" t="n"/>
      <c r="F187" s="28" t="n"/>
      <c r="G187" s="28" t="n"/>
      <c r="H187" s="28" t="n"/>
    </row>
    <row r="188">
      <c r="A188" s="26" t="n"/>
      <c r="B188" s="27">
        <f>IF($A188="","",TEXT($A188,"YYYY-MM"))</f>
        <v/>
      </c>
      <c r="C188" s="28" t="n"/>
      <c r="D188" s="28" t="n"/>
      <c r="E188" s="31" t="n"/>
      <c r="F188" s="28" t="n"/>
      <c r="G188" s="28" t="n"/>
      <c r="H188" s="28" t="n"/>
    </row>
    <row r="189">
      <c r="A189" s="26" t="n"/>
      <c r="B189" s="27">
        <f>IF($A189="","",TEXT($A189,"YYYY-MM"))</f>
        <v/>
      </c>
      <c r="C189" s="28" t="n"/>
      <c r="D189" s="28" t="n"/>
      <c r="E189" s="31" t="n"/>
      <c r="F189" s="28" t="n"/>
      <c r="G189" s="28" t="n"/>
      <c r="H189" s="28" t="n"/>
    </row>
    <row r="190">
      <c r="A190" s="26" t="n"/>
      <c r="B190" s="27">
        <f>IF($A190="","",TEXT($A190,"YYYY-MM"))</f>
        <v/>
      </c>
      <c r="C190" s="28" t="n"/>
      <c r="D190" s="28" t="n"/>
      <c r="E190" s="31" t="n"/>
      <c r="F190" s="28" t="n"/>
      <c r="G190" s="28" t="n"/>
      <c r="H190" s="28" t="n"/>
    </row>
    <row r="191">
      <c r="A191" s="26" t="n"/>
      <c r="B191" s="27">
        <f>IF($A191="","",TEXT($A191,"YYYY-MM"))</f>
        <v/>
      </c>
      <c r="C191" s="28" t="n"/>
      <c r="D191" s="28" t="n"/>
      <c r="E191" s="31" t="n"/>
      <c r="F191" s="28" t="n"/>
      <c r="G191" s="28" t="n"/>
      <c r="H191" s="28" t="n"/>
    </row>
    <row r="192">
      <c r="A192" s="26" t="n"/>
      <c r="B192" s="27">
        <f>IF($A192="","",TEXT($A192,"YYYY-MM"))</f>
        <v/>
      </c>
      <c r="C192" s="28" t="n"/>
      <c r="D192" s="28" t="n"/>
      <c r="E192" s="31" t="n"/>
      <c r="F192" s="28" t="n"/>
      <c r="G192" s="28" t="n"/>
      <c r="H192" s="28" t="n"/>
    </row>
    <row r="193">
      <c r="A193" s="26" t="n"/>
      <c r="B193" s="27">
        <f>IF($A193="","",TEXT($A193,"YYYY-MM"))</f>
        <v/>
      </c>
      <c r="C193" s="28" t="n"/>
      <c r="D193" s="28" t="n"/>
      <c r="E193" s="31" t="n"/>
      <c r="F193" s="28" t="n"/>
      <c r="G193" s="28" t="n"/>
      <c r="H193" s="28" t="n"/>
    </row>
    <row r="194">
      <c r="A194" s="26" t="n"/>
      <c r="B194" s="27">
        <f>IF($A194="","",TEXT($A194,"YYYY-MM"))</f>
        <v/>
      </c>
      <c r="C194" s="28" t="n"/>
      <c r="D194" s="28" t="n"/>
      <c r="E194" s="31" t="n"/>
      <c r="F194" s="28" t="n"/>
      <c r="G194" s="28" t="n"/>
      <c r="H194" s="28" t="n"/>
    </row>
    <row r="195">
      <c r="A195" s="26" t="n"/>
      <c r="B195" s="27">
        <f>IF($A195="","",TEXT($A195,"YYYY-MM"))</f>
        <v/>
      </c>
      <c r="C195" s="28" t="n"/>
      <c r="D195" s="28" t="n"/>
      <c r="E195" s="31" t="n"/>
      <c r="F195" s="28" t="n"/>
      <c r="G195" s="28" t="n"/>
      <c r="H195" s="28" t="n"/>
    </row>
    <row r="196">
      <c r="A196" s="26" t="n"/>
      <c r="B196" s="27">
        <f>IF($A196="","",TEXT($A196,"YYYY-MM"))</f>
        <v/>
      </c>
      <c r="C196" s="28" t="n"/>
      <c r="D196" s="28" t="n"/>
      <c r="E196" s="31" t="n"/>
      <c r="F196" s="28" t="n"/>
      <c r="G196" s="28" t="n"/>
      <c r="H196" s="28" t="n"/>
    </row>
    <row r="197">
      <c r="A197" s="26" t="n"/>
      <c r="B197" s="27">
        <f>IF($A197="","",TEXT($A197,"YYYY-MM"))</f>
        <v/>
      </c>
      <c r="C197" s="28" t="n"/>
      <c r="D197" s="28" t="n"/>
      <c r="E197" s="31" t="n"/>
      <c r="F197" s="28" t="n"/>
      <c r="G197" s="28" t="n"/>
      <c r="H197" s="28" t="n"/>
    </row>
    <row r="198">
      <c r="A198" s="26" t="n"/>
      <c r="B198" s="27">
        <f>IF($A198="","",TEXT($A198,"YYYY-MM"))</f>
        <v/>
      </c>
      <c r="C198" s="28" t="n"/>
      <c r="D198" s="28" t="n"/>
      <c r="E198" s="31" t="n"/>
      <c r="F198" s="28" t="n"/>
      <c r="G198" s="28" t="n"/>
      <c r="H198" s="28" t="n"/>
    </row>
    <row r="199">
      <c r="A199" s="26" t="n"/>
      <c r="B199" s="27">
        <f>IF($A199="","",TEXT($A199,"YYYY-MM"))</f>
        <v/>
      </c>
      <c r="C199" s="28" t="n"/>
      <c r="D199" s="28" t="n"/>
      <c r="E199" s="31" t="n"/>
      <c r="F199" s="28" t="n"/>
      <c r="G199" s="28" t="n"/>
      <c r="H199" s="28" t="n"/>
    </row>
    <row r="200">
      <c r="A200" s="26" t="n"/>
      <c r="B200" s="27">
        <f>IF($A200="","",TEXT($A200,"YYYY-MM"))</f>
        <v/>
      </c>
      <c r="C200" s="28" t="n"/>
      <c r="D200" s="28" t="n"/>
      <c r="E200" s="31" t="n"/>
      <c r="F200" s="28" t="n"/>
      <c r="G200" s="28" t="n"/>
      <c r="H200" s="28" t="n"/>
    </row>
    <row r="201">
      <c r="A201" s="26" t="n"/>
      <c r="B201" s="27">
        <f>IF($A201="","",TEXT($A201,"YYYY-MM"))</f>
        <v/>
      </c>
      <c r="C201" s="28" t="n"/>
      <c r="D201" s="28" t="n"/>
      <c r="E201" s="31" t="n"/>
      <c r="F201" s="28" t="n"/>
      <c r="G201" s="28" t="n"/>
      <c r="H201" s="28" t="n"/>
    </row>
    <row r="202">
      <c r="A202" s="26" t="n"/>
      <c r="B202" s="27">
        <f>IF($A202="","",TEXT($A202,"YYYY-MM"))</f>
        <v/>
      </c>
      <c r="C202" s="28" t="n"/>
      <c r="D202" s="28" t="n"/>
      <c r="E202" s="31" t="n"/>
      <c r="F202" s="28" t="n"/>
      <c r="G202" s="28" t="n"/>
      <c r="H202" s="28" t="n"/>
    </row>
    <row r="203">
      <c r="A203" s="26" t="n"/>
      <c r="B203" s="27">
        <f>IF($A203="","",TEXT($A203,"YYYY-MM"))</f>
        <v/>
      </c>
      <c r="C203" s="28" t="n"/>
      <c r="D203" s="28" t="n"/>
      <c r="E203" s="31" t="n"/>
      <c r="F203" s="28" t="n"/>
      <c r="G203" s="28" t="n"/>
      <c r="H203" s="28" t="n"/>
    </row>
    <row r="204">
      <c r="A204" s="26" t="n"/>
      <c r="B204" s="27">
        <f>IF($A204="","",TEXT($A204,"YYYY-MM"))</f>
        <v/>
      </c>
      <c r="C204" s="28" t="n"/>
      <c r="D204" s="28" t="n"/>
      <c r="E204" s="31" t="n"/>
      <c r="F204" s="28" t="n"/>
      <c r="G204" s="28" t="n"/>
      <c r="H204" s="28" t="n"/>
    </row>
    <row r="205">
      <c r="A205" s="26" t="n"/>
      <c r="B205" s="27">
        <f>IF($A205="","",TEXT($A205,"YYYY-MM"))</f>
        <v/>
      </c>
      <c r="C205" s="28" t="n"/>
      <c r="D205" s="28" t="n"/>
      <c r="E205" s="31" t="n"/>
      <c r="F205" s="28" t="n"/>
      <c r="G205" s="28" t="n"/>
      <c r="H205" s="28" t="n"/>
    </row>
    <row r="206">
      <c r="A206" s="26" t="n"/>
      <c r="B206" s="27">
        <f>IF($A206="","",TEXT($A206,"YYYY-MM"))</f>
        <v/>
      </c>
      <c r="C206" s="28" t="n"/>
      <c r="D206" s="28" t="n"/>
      <c r="E206" s="31" t="n"/>
      <c r="F206" s="28" t="n"/>
      <c r="G206" s="28" t="n"/>
      <c r="H206" s="28" t="n"/>
    </row>
    <row r="207">
      <c r="A207" s="26" t="n"/>
      <c r="B207" s="27">
        <f>IF($A207="","",TEXT($A207,"YYYY-MM"))</f>
        <v/>
      </c>
      <c r="C207" s="28" t="n"/>
      <c r="D207" s="28" t="n"/>
      <c r="E207" s="31" t="n"/>
      <c r="F207" s="28" t="n"/>
      <c r="G207" s="28" t="n"/>
      <c r="H207" s="28" t="n"/>
    </row>
    <row r="208">
      <c r="A208" s="26" t="n"/>
      <c r="B208" s="27">
        <f>IF($A208="","",TEXT($A208,"YYYY-MM"))</f>
        <v/>
      </c>
      <c r="C208" s="28" t="n"/>
      <c r="D208" s="28" t="n"/>
      <c r="E208" s="31" t="n"/>
      <c r="F208" s="28" t="n"/>
      <c r="G208" s="28" t="n"/>
      <c r="H208" s="28" t="n"/>
    </row>
    <row r="209">
      <c r="A209" s="26" t="n"/>
      <c r="B209" s="27">
        <f>IF($A209="","",TEXT($A209,"YYYY-MM"))</f>
        <v/>
      </c>
      <c r="C209" s="28" t="n"/>
      <c r="D209" s="28" t="n"/>
      <c r="E209" s="31" t="n"/>
      <c r="F209" s="28" t="n"/>
      <c r="G209" s="28" t="n"/>
      <c r="H209" s="28" t="n"/>
    </row>
    <row r="210">
      <c r="A210" s="26" t="n"/>
      <c r="B210" s="27">
        <f>IF($A210="","",TEXT($A210,"YYYY-MM"))</f>
        <v/>
      </c>
      <c r="C210" s="28" t="n"/>
      <c r="D210" s="28" t="n"/>
      <c r="E210" s="31" t="n"/>
      <c r="F210" s="28" t="n"/>
      <c r="G210" s="28" t="n"/>
      <c r="H210" s="28" t="n"/>
    </row>
    <row r="211">
      <c r="A211" s="26" t="n"/>
      <c r="B211" s="27">
        <f>IF($A211="","",TEXT($A211,"YYYY-MM"))</f>
        <v/>
      </c>
      <c r="C211" s="28" t="n"/>
      <c r="D211" s="28" t="n"/>
      <c r="E211" s="31" t="n"/>
      <c r="F211" s="28" t="n"/>
      <c r="G211" s="28" t="n"/>
      <c r="H211" s="28" t="n"/>
    </row>
    <row r="212">
      <c r="A212" s="26" t="n"/>
      <c r="B212" s="27">
        <f>IF($A212="","",TEXT($A212,"YYYY-MM"))</f>
        <v/>
      </c>
      <c r="C212" s="28" t="n"/>
      <c r="D212" s="28" t="n"/>
      <c r="E212" s="31" t="n"/>
      <c r="F212" s="28" t="n"/>
      <c r="G212" s="28" t="n"/>
      <c r="H212" s="28" t="n"/>
    </row>
    <row r="213">
      <c r="A213" s="26" t="n"/>
      <c r="B213" s="27">
        <f>IF($A213="","",TEXT($A213,"YYYY-MM"))</f>
        <v/>
      </c>
      <c r="C213" s="28" t="n"/>
      <c r="D213" s="28" t="n"/>
      <c r="E213" s="31" t="n"/>
      <c r="F213" s="28" t="n"/>
      <c r="G213" s="28" t="n"/>
      <c r="H213" s="28" t="n"/>
    </row>
    <row r="214">
      <c r="A214" s="26" t="n"/>
      <c r="B214" s="27">
        <f>IF($A214="","",TEXT($A214,"YYYY-MM"))</f>
        <v/>
      </c>
      <c r="C214" s="28" t="n"/>
      <c r="D214" s="28" t="n"/>
      <c r="E214" s="31" t="n"/>
      <c r="F214" s="28" t="n"/>
      <c r="G214" s="28" t="n"/>
      <c r="H214" s="28" t="n"/>
    </row>
    <row r="215">
      <c r="A215" s="26" t="n"/>
      <c r="B215" s="27">
        <f>IF($A215="","",TEXT($A215,"YYYY-MM"))</f>
        <v/>
      </c>
      <c r="C215" s="28" t="n"/>
      <c r="D215" s="28" t="n"/>
      <c r="E215" s="31" t="n"/>
      <c r="F215" s="28" t="n"/>
      <c r="G215" s="28" t="n"/>
      <c r="H215" s="28" t="n"/>
    </row>
    <row r="216">
      <c r="A216" s="26" t="n"/>
      <c r="B216" s="27">
        <f>IF($A216="","",TEXT($A216,"YYYY-MM"))</f>
        <v/>
      </c>
      <c r="C216" s="28" t="n"/>
      <c r="D216" s="28" t="n"/>
      <c r="E216" s="31" t="n"/>
      <c r="F216" s="28" t="n"/>
      <c r="G216" s="28" t="n"/>
      <c r="H216" s="28" t="n"/>
    </row>
    <row r="217">
      <c r="A217" s="26" t="n"/>
      <c r="B217" s="27">
        <f>IF($A217="","",TEXT($A217,"YYYY-MM"))</f>
        <v/>
      </c>
      <c r="C217" s="28" t="n"/>
      <c r="D217" s="28" t="n"/>
      <c r="E217" s="31" t="n"/>
      <c r="F217" s="28" t="n"/>
      <c r="G217" s="28" t="n"/>
      <c r="H217" s="28" t="n"/>
    </row>
    <row r="218">
      <c r="A218" s="26" t="n"/>
      <c r="B218" s="27">
        <f>IF($A218="","",TEXT($A218,"YYYY-MM"))</f>
        <v/>
      </c>
      <c r="C218" s="28" t="n"/>
      <c r="D218" s="28" t="n"/>
      <c r="E218" s="31" t="n"/>
      <c r="F218" s="28" t="n"/>
      <c r="G218" s="28" t="n"/>
      <c r="H218" s="28" t="n"/>
    </row>
    <row r="219">
      <c r="A219" s="26" t="n"/>
      <c r="B219" s="27">
        <f>IF($A219="","",TEXT($A219,"YYYY-MM"))</f>
        <v/>
      </c>
      <c r="C219" s="28" t="n"/>
      <c r="D219" s="28" t="n"/>
      <c r="E219" s="31" t="n"/>
      <c r="F219" s="28" t="n"/>
      <c r="G219" s="28" t="n"/>
      <c r="H219" s="28" t="n"/>
    </row>
    <row r="220">
      <c r="A220" s="26" t="n"/>
      <c r="B220" s="27">
        <f>IF($A220="","",TEXT($A220,"YYYY-MM"))</f>
        <v/>
      </c>
      <c r="C220" s="28" t="n"/>
      <c r="D220" s="28" t="n"/>
      <c r="E220" s="31" t="n"/>
      <c r="F220" s="28" t="n"/>
      <c r="G220" s="28" t="n"/>
      <c r="H220" s="28" t="n"/>
    </row>
    <row r="221">
      <c r="A221" s="26" t="n"/>
      <c r="B221" s="27">
        <f>IF($A221="","",TEXT($A221,"YYYY-MM"))</f>
        <v/>
      </c>
      <c r="C221" s="28" t="n"/>
      <c r="D221" s="28" t="n"/>
      <c r="E221" s="31" t="n"/>
      <c r="F221" s="28" t="n"/>
      <c r="G221" s="28" t="n"/>
      <c r="H221" s="28" t="n"/>
    </row>
    <row r="222">
      <c r="A222" s="26" t="n"/>
      <c r="B222" s="27">
        <f>IF($A222="","",TEXT($A222,"YYYY-MM"))</f>
        <v/>
      </c>
      <c r="C222" s="28" t="n"/>
      <c r="D222" s="28" t="n"/>
      <c r="E222" s="31" t="n"/>
      <c r="F222" s="28" t="n"/>
      <c r="G222" s="28" t="n"/>
      <c r="H222" s="28" t="n"/>
    </row>
    <row r="223">
      <c r="A223" s="26" t="n"/>
      <c r="B223" s="27">
        <f>IF($A223="","",TEXT($A223,"YYYY-MM"))</f>
        <v/>
      </c>
      <c r="C223" s="28" t="n"/>
      <c r="D223" s="28" t="n"/>
      <c r="E223" s="31" t="n"/>
      <c r="F223" s="28" t="n"/>
      <c r="G223" s="28" t="n"/>
      <c r="H223" s="28" t="n"/>
    </row>
    <row r="224">
      <c r="A224" s="26" t="n"/>
      <c r="B224" s="27">
        <f>IF($A224="","",TEXT($A224,"YYYY-MM"))</f>
        <v/>
      </c>
      <c r="C224" s="28" t="n"/>
      <c r="D224" s="28" t="n"/>
      <c r="E224" s="31" t="n"/>
      <c r="F224" s="28" t="n"/>
      <c r="G224" s="28" t="n"/>
      <c r="H224" s="28" t="n"/>
    </row>
    <row r="225">
      <c r="A225" s="26" t="n"/>
      <c r="B225" s="27">
        <f>IF($A225="","",TEXT($A225,"YYYY-MM"))</f>
        <v/>
      </c>
      <c r="C225" s="28" t="n"/>
      <c r="D225" s="28" t="n"/>
      <c r="E225" s="31" t="n"/>
      <c r="F225" s="28" t="n"/>
      <c r="G225" s="28" t="n"/>
      <c r="H225" s="28" t="n"/>
    </row>
    <row r="226">
      <c r="A226" s="26" t="n"/>
      <c r="B226" s="27">
        <f>IF($A226="","",TEXT($A226,"YYYY-MM"))</f>
        <v/>
      </c>
      <c r="C226" s="28" t="n"/>
      <c r="D226" s="28" t="n"/>
      <c r="E226" s="31" t="n"/>
      <c r="F226" s="28" t="n"/>
      <c r="G226" s="28" t="n"/>
      <c r="H226" s="28" t="n"/>
    </row>
    <row r="227">
      <c r="A227" s="26" t="n"/>
      <c r="B227" s="27">
        <f>IF($A227="","",TEXT($A227,"YYYY-MM"))</f>
        <v/>
      </c>
      <c r="C227" s="28" t="n"/>
      <c r="D227" s="28" t="n"/>
      <c r="E227" s="31" t="n"/>
      <c r="F227" s="28" t="n"/>
      <c r="G227" s="28" t="n"/>
      <c r="H227" s="28" t="n"/>
    </row>
    <row r="228">
      <c r="A228" s="26" t="n"/>
      <c r="B228" s="27">
        <f>IF($A228="","",TEXT($A228,"YYYY-MM"))</f>
        <v/>
      </c>
      <c r="C228" s="28" t="n"/>
      <c r="D228" s="28" t="n"/>
      <c r="E228" s="31" t="n"/>
      <c r="F228" s="28" t="n"/>
      <c r="G228" s="28" t="n"/>
      <c r="H228" s="28" t="n"/>
    </row>
    <row r="229">
      <c r="A229" s="26" t="n"/>
      <c r="B229" s="27">
        <f>IF($A229="","",TEXT($A229,"YYYY-MM"))</f>
        <v/>
      </c>
      <c r="C229" s="28" t="n"/>
      <c r="D229" s="28" t="n"/>
      <c r="E229" s="31" t="n"/>
      <c r="F229" s="28" t="n"/>
      <c r="G229" s="28" t="n"/>
      <c r="H229" s="28" t="n"/>
    </row>
    <row r="230">
      <c r="A230" s="26" t="n"/>
      <c r="B230" s="27">
        <f>IF($A230="","",TEXT($A230,"YYYY-MM"))</f>
        <v/>
      </c>
      <c r="C230" s="28" t="n"/>
      <c r="D230" s="28" t="n"/>
      <c r="E230" s="31" t="n"/>
      <c r="F230" s="28" t="n"/>
      <c r="G230" s="28" t="n"/>
      <c r="H230" s="28" t="n"/>
    </row>
    <row r="231">
      <c r="A231" s="26" t="n"/>
      <c r="B231" s="27">
        <f>IF($A231="","",TEXT($A231,"YYYY-MM"))</f>
        <v/>
      </c>
      <c r="C231" s="28" t="n"/>
      <c r="D231" s="28" t="n"/>
      <c r="E231" s="31" t="n"/>
      <c r="F231" s="28" t="n"/>
      <c r="G231" s="28" t="n"/>
      <c r="H231" s="28" t="n"/>
    </row>
    <row r="232">
      <c r="A232" s="26" t="n"/>
      <c r="B232" s="27">
        <f>IF($A232="","",TEXT($A232,"YYYY-MM"))</f>
        <v/>
      </c>
      <c r="C232" s="28" t="n"/>
      <c r="D232" s="28" t="n"/>
      <c r="E232" s="31" t="n"/>
      <c r="F232" s="28" t="n"/>
      <c r="G232" s="28" t="n"/>
      <c r="H232" s="28" t="n"/>
    </row>
    <row r="233">
      <c r="A233" s="26" t="n"/>
      <c r="B233" s="27">
        <f>IF($A233="","",TEXT($A233,"YYYY-MM"))</f>
        <v/>
      </c>
      <c r="C233" s="28" t="n"/>
      <c r="D233" s="28" t="n"/>
      <c r="E233" s="31" t="n"/>
      <c r="F233" s="28" t="n"/>
      <c r="G233" s="28" t="n"/>
      <c r="H233" s="28" t="n"/>
    </row>
    <row r="234">
      <c r="A234" s="26" t="n"/>
      <c r="B234" s="27">
        <f>IF($A234="","",TEXT($A234,"YYYY-MM"))</f>
        <v/>
      </c>
      <c r="C234" s="28" t="n"/>
      <c r="D234" s="28" t="n"/>
      <c r="E234" s="31" t="n"/>
      <c r="F234" s="28" t="n"/>
      <c r="G234" s="28" t="n"/>
      <c r="H234" s="28" t="n"/>
    </row>
    <row r="235">
      <c r="A235" s="26" t="n"/>
      <c r="B235" s="27">
        <f>IF($A235="","",TEXT($A235,"YYYY-MM"))</f>
        <v/>
      </c>
      <c r="C235" s="28" t="n"/>
      <c r="D235" s="28" t="n"/>
      <c r="E235" s="31" t="n"/>
      <c r="F235" s="28" t="n"/>
      <c r="G235" s="28" t="n"/>
      <c r="H235" s="28" t="n"/>
    </row>
    <row r="236">
      <c r="A236" s="26" t="n"/>
      <c r="B236" s="27">
        <f>IF($A236="","",TEXT($A236,"YYYY-MM"))</f>
        <v/>
      </c>
      <c r="C236" s="28" t="n"/>
      <c r="D236" s="28" t="n"/>
      <c r="E236" s="31" t="n"/>
      <c r="F236" s="28" t="n"/>
      <c r="G236" s="28" t="n"/>
      <c r="H236" s="28" t="n"/>
    </row>
    <row r="237">
      <c r="A237" s="26" t="n"/>
      <c r="B237" s="27">
        <f>IF($A237="","",TEXT($A237,"YYYY-MM"))</f>
        <v/>
      </c>
      <c r="C237" s="28" t="n"/>
      <c r="D237" s="28" t="n"/>
      <c r="E237" s="31" t="n"/>
      <c r="F237" s="28" t="n"/>
      <c r="G237" s="28" t="n"/>
      <c r="H237" s="28" t="n"/>
    </row>
    <row r="238">
      <c r="A238" s="26" t="n"/>
      <c r="B238" s="27">
        <f>IF($A238="","",TEXT($A238,"YYYY-MM"))</f>
        <v/>
      </c>
      <c r="C238" s="28" t="n"/>
      <c r="D238" s="28" t="n"/>
      <c r="E238" s="31" t="n"/>
      <c r="F238" s="28" t="n"/>
      <c r="G238" s="28" t="n"/>
      <c r="H238" s="28" t="n"/>
    </row>
    <row r="239">
      <c r="A239" s="26" t="n"/>
      <c r="B239" s="27">
        <f>IF($A239="","",TEXT($A239,"YYYY-MM"))</f>
        <v/>
      </c>
      <c r="C239" s="28" t="n"/>
      <c r="D239" s="28" t="n"/>
      <c r="E239" s="31" t="n"/>
      <c r="F239" s="28" t="n"/>
      <c r="G239" s="28" t="n"/>
      <c r="H239" s="28" t="n"/>
    </row>
    <row r="240">
      <c r="A240" s="26" t="n"/>
      <c r="B240" s="27">
        <f>IF($A240="","",TEXT($A240,"YYYY-MM"))</f>
        <v/>
      </c>
      <c r="C240" s="28" t="n"/>
      <c r="D240" s="28" t="n"/>
      <c r="E240" s="31" t="n"/>
      <c r="F240" s="28" t="n"/>
      <c r="G240" s="28" t="n"/>
      <c r="H240" s="28" t="n"/>
    </row>
    <row r="241">
      <c r="A241" s="26" t="n"/>
      <c r="B241" s="27">
        <f>IF($A241="","",TEXT($A241,"YYYY-MM"))</f>
        <v/>
      </c>
      <c r="C241" s="28" t="n"/>
      <c r="D241" s="28" t="n"/>
      <c r="E241" s="31" t="n"/>
      <c r="F241" s="28" t="n"/>
      <c r="G241" s="28" t="n"/>
      <c r="H241" s="28" t="n"/>
    </row>
    <row r="242">
      <c r="A242" s="26" t="n"/>
      <c r="B242" s="27">
        <f>IF($A242="","",TEXT($A242,"YYYY-MM"))</f>
        <v/>
      </c>
      <c r="C242" s="28" t="n"/>
      <c r="D242" s="28" t="n"/>
      <c r="E242" s="31" t="n"/>
      <c r="F242" s="28" t="n"/>
      <c r="G242" s="28" t="n"/>
      <c r="H242" s="28" t="n"/>
    </row>
    <row r="243">
      <c r="A243" s="26" t="n"/>
      <c r="B243" s="27">
        <f>IF($A243="","",TEXT($A243,"YYYY-MM"))</f>
        <v/>
      </c>
      <c r="C243" s="28" t="n"/>
      <c r="D243" s="28" t="n"/>
      <c r="E243" s="31" t="n"/>
      <c r="F243" s="28" t="n"/>
      <c r="G243" s="28" t="n"/>
      <c r="H243" s="28" t="n"/>
    </row>
    <row r="244">
      <c r="A244" s="26" t="n"/>
      <c r="B244" s="27">
        <f>IF($A244="","",TEXT($A244,"YYYY-MM"))</f>
        <v/>
      </c>
      <c r="C244" s="28" t="n"/>
      <c r="D244" s="28" t="n"/>
      <c r="E244" s="31" t="n"/>
      <c r="F244" s="28" t="n"/>
      <c r="G244" s="28" t="n"/>
      <c r="H244" s="28" t="n"/>
    </row>
    <row r="245">
      <c r="A245" s="26" t="n"/>
      <c r="B245" s="27">
        <f>IF($A245="","",TEXT($A245,"YYYY-MM"))</f>
        <v/>
      </c>
      <c r="C245" s="28" t="n"/>
      <c r="D245" s="28" t="n"/>
      <c r="E245" s="31" t="n"/>
      <c r="F245" s="28" t="n"/>
      <c r="G245" s="28" t="n"/>
      <c r="H245" s="28" t="n"/>
    </row>
    <row r="246">
      <c r="A246" s="26" t="n"/>
      <c r="B246" s="27">
        <f>IF($A246="","",TEXT($A246,"YYYY-MM"))</f>
        <v/>
      </c>
      <c r="C246" s="28" t="n"/>
      <c r="D246" s="28" t="n"/>
      <c r="E246" s="31" t="n"/>
      <c r="F246" s="28" t="n"/>
      <c r="G246" s="28" t="n"/>
      <c r="H246" s="28" t="n"/>
    </row>
    <row r="247">
      <c r="A247" s="26" t="n"/>
      <c r="B247" s="27">
        <f>IF($A247="","",TEXT($A247,"YYYY-MM"))</f>
        <v/>
      </c>
      <c r="C247" s="28" t="n"/>
      <c r="D247" s="28" t="n"/>
      <c r="E247" s="31" t="n"/>
      <c r="F247" s="28" t="n"/>
      <c r="G247" s="28" t="n"/>
      <c r="H247" s="28" t="n"/>
    </row>
    <row r="248">
      <c r="A248" s="26" t="n"/>
      <c r="B248" s="27">
        <f>IF($A248="","",TEXT($A248,"YYYY-MM"))</f>
        <v/>
      </c>
      <c r="C248" s="28" t="n"/>
      <c r="D248" s="28" t="n"/>
      <c r="E248" s="31" t="n"/>
      <c r="F248" s="28" t="n"/>
      <c r="G248" s="28" t="n"/>
      <c r="H248" s="28" t="n"/>
    </row>
    <row r="249">
      <c r="A249" s="26" t="n"/>
      <c r="B249" s="27">
        <f>IF($A249="","",TEXT($A249,"YYYY-MM"))</f>
        <v/>
      </c>
      <c r="C249" s="28" t="n"/>
      <c r="D249" s="28" t="n"/>
      <c r="E249" s="31" t="n"/>
      <c r="F249" s="28" t="n"/>
      <c r="G249" s="28" t="n"/>
      <c r="H249" s="28" t="n"/>
    </row>
    <row r="250">
      <c r="A250" s="26" t="n"/>
      <c r="B250" s="27">
        <f>IF($A250="","",TEXT($A250,"YYYY-MM"))</f>
        <v/>
      </c>
      <c r="C250" s="28" t="n"/>
      <c r="D250" s="28" t="n"/>
      <c r="E250" s="31" t="n"/>
      <c r="F250" s="28" t="n"/>
      <c r="G250" s="28" t="n"/>
      <c r="H250" s="28" t="n"/>
    </row>
    <row r="251">
      <c r="A251" s="26" t="n"/>
      <c r="B251" s="27">
        <f>IF($A251="","",TEXT($A251,"YYYY-MM"))</f>
        <v/>
      </c>
      <c r="C251" s="28" t="n"/>
      <c r="D251" s="28" t="n"/>
      <c r="E251" s="31" t="n"/>
      <c r="F251" s="28" t="n"/>
      <c r="G251" s="28" t="n"/>
      <c r="H251" s="28" t="n"/>
    </row>
    <row r="252">
      <c r="A252" s="26" t="n"/>
      <c r="B252" s="27">
        <f>IF($A252="","",TEXT($A252,"YYYY-MM"))</f>
        <v/>
      </c>
      <c r="C252" s="28" t="n"/>
      <c r="D252" s="28" t="n"/>
      <c r="E252" s="31" t="n"/>
      <c r="F252" s="28" t="n"/>
      <c r="G252" s="28" t="n"/>
      <c r="H252" s="28" t="n"/>
    </row>
    <row r="253">
      <c r="A253" s="26" t="n"/>
      <c r="B253" s="27">
        <f>IF($A253="","",TEXT($A253,"YYYY-MM"))</f>
        <v/>
      </c>
      <c r="C253" s="28" t="n"/>
      <c r="D253" s="28" t="n"/>
      <c r="E253" s="31" t="n"/>
      <c r="F253" s="28" t="n"/>
      <c r="G253" s="28" t="n"/>
      <c r="H253" s="28" t="n"/>
    </row>
    <row r="254">
      <c r="A254" s="26" t="n"/>
      <c r="B254" s="27">
        <f>IF($A254="","",TEXT($A254,"YYYY-MM"))</f>
        <v/>
      </c>
      <c r="C254" s="28" t="n"/>
      <c r="D254" s="28" t="n"/>
      <c r="E254" s="31" t="n"/>
      <c r="F254" s="28" t="n"/>
      <c r="G254" s="28" t="n"/>
      <c r="H254" s="28" t="n"/>
    </row>
    <row r="255">
      <c r="A255" s="26" t="n"/>
      <c r="B255" s="27">
        <f>IF($A255="","",TEXT($A255,"YYYY-MM"))</f>
        <v/>
      </c>
      <c r="C255" s="28" t="n"/>
      <c r="D255" s="28" t="n"/>
      <c r="E255" s="31" t="n"/>
      <c r="F255" s="28" t="n"/>
      <c r="G255" s="28" t="n"/>
      <c r="H255" s="28" t="n"/>
    </row>
    <row r="256">
      <c r="A256" s="26" t="n"/>
      <c r="B256" s="27">
        <f>IF($A256="","",TEXT($A256,"YYYY-MM"))</f>
        <v/>
      </c>
      <c r="C256" s="28" t="n"/>
      <c r="D256" s="28" t="n"/>
      <c r="E256" s="31" t="n"/>
      <c r="F256" s="28" t="n"/>
      <c r="G256" s="28" t="n"/>
      <c r="H256" s="28" t="n"/>
    </row>
    <row r="257">
      <c r="A257" s="26" t="n"/>
      <c r="B257" s="27">
        <f>IF($A257="","",TEXT($A257,"YYYY-MM"))</f>
        <v/>
      </c>
      <c r="C257" s="28" t="n"/>
      <c r="D257" s="28" t="n"/>
      <c r="E257" s="31" t="n"/>
      <c r="F257" s="28" t="n"/>
      <c r="G257" s="28" t="n"/>
      <c r="H257" s="28" t="n"/>
    </row>
    <row r="258">
      <c r="A258" s="26" t="n"/>
      <c r="B258" s="27">
        <f>IF($A258="","",TEXT($A258,"YYYY-MM"))</f>
        <v/>
      </c>
      <c r="C258" s="28" t="n"/>
      <c r="D258" s="28" t="n"/>
      <c r="E258" s="31" t="n"/>
      <c r="F258" s="28" t="n"/>
      <c r="G258" s="28" t="n"/>
      <c r="H258" s="28" t="n"/>
    </row>
    <row r="259">
      <c r="A259" s="26" t="n"/>
      <c r="B259" s="27">
        <f>IF($A259="","",TEXT($A259,"YYYY-MM"))</f>
        <v/>
      </c>
      <c r="C259" s="28" t="n"/>
      <c r="D259" s="28" t="n"/>
      <c r="E259" s="31" t="n"/>
      <c r="F259" s="28" t="n"/>
      <c r="G259" s="28" t="n"/>
      <c r="H259" s="28" t="n"/>
    </row>
    <row r="260">
      <c r="A260" s="26" t="n"/>
      <c r="B260" s="27">
        <f>IF($A260="","",TEXT($A260,"YYYY-MM"))</f>
        <v/>
      </c>
      <c r="C260" s="28" t="n"/>
      <c r="D260" s="28" t="n"/>
      <c r="E260" s="31" t="n"/>
      <c r="F260" s="28" t="n"/>
      <c r="G260" s="28" t="n"/>
      <c r="H260" s="28" t="n"/>
    </row>
    <row r="261">
      <c r="A261" s="26" t="n"/>
      <c r="B261" s="27">
        <f>IF($A261="","",TEXT($A261,"YYYY-MM"))</f>
        <v/>
      </c>
      <c r="C261" s="28" t="n"/>
      <c r="D261" s="28" t="n"/>
      <c r="E261" s="31" t="n"/>
      <c r="F261" s="28" t="n"/>
      <c r="G261" s="28" t="n"/>
      <c r="H261" s="28" t="n"/>
    </row>
    <row r="262">
      <c r="A262" s="26" t="n"/>
      <c r="B262" s="27">
        <f>IF($A262="","",TEXT($A262,"YYYY-MM"))</f>
        <v/>
      </c>
      <c r="C262" s="28" t="n"/>
      <c r="D262" s="28" t="n"/>
      <c r="E262" s="31" t="n"/>
      <c r="F262" s="28" t="n"/>
      <c r="G262" s="28" t="n"/>
      <c r="H262" s="28" t="n"/>
    </row>
    <row r="263">
      <c r="A263" s="26" t="n"/>
      <c r="B263" s="27">
        <f>IF($A263="","",TEXT($A263,"YYYY-MM"))</f>
        <v/>
      </c>
      <c r="C263" s="28" t="n"/>
      <c r="D263" s="28" t="n"/>
      <c r="E263" s="31" t="n"/>
      <c r="F263" s="28" t="n"/>
      <c r="G263" s="28" t="n"/>
      <c r="H263" s="28" t="n"/>
    </row>
    <row r="264">
      <c r="A264" s="26" t="n"/>
      <c r="B264" s="27">
        <f>IF($A264="","",TEXT($A264,"YYYY-MM"))</f>
        <v/>
      </c>
      <c r="C264" s="28" t="n"/>
      <c r="D264" s="28" t="n"/>
      <c r="E264" s="31" t="n"/>
      <c r="F264" s="28" t="n"/>
      <c r="G264" s="28" t="n"/>
      <c r="H264" s="28" t="n"/>
    </row>
    <row r="265">
      <c r="A265" s="26" t="n"/>
      <c r="B265" s="27">
        <f>IF($A265="","",TEXT($A265,"YYYY-MM"))</f>
        <v/>
      </c>
      <c r="C265" s="28" t="n"/>
      <c r="D265" s="28" t="n"/>
      <c r="E265" s="31" t="n"/>
      <c r="F265" s="28" t="n"/>
      <c r="G265" s="28" t="n"/>
      <c r="H265" s="28" t="n"/>
    </row>
    <row r="266">
      <c r="A266" s="26" t="n"/>
      <c r="B266" s="27">
        <f>IF($A266="","",TEXT($A266,"YYYY-MM"))</f>
        <v/>
      </c>
      <c r="C266" s="28" t="n"/>
      <c r="D266" s="28" t="n"/>
      <c r="E266" s="31" t="n"/>
      <c r="F266" s="28" t="n"/>
      <c r="G266" s="28" t="n"/>
      <c r="H266" s="28" t="n"/>
    </row>
    <row r="267">
      <c r="A267" s="26" t="n"/>
      <c r="B267" s="27">
        <f>IF($A267="","",TEXT($A267,"YYYY-MM"))</f>
        <v/>
      </c>
      <c r="C267" s="28" t="n"/>
      <c r="D267" s="28" t="n"/>
      <c r="E267" s="31" t="n"/>
      <c r="F267" s="28" t="n"/>
      <c r="G267" s="28" t="n"/>
      <c r="H267" s="28" t="n"/>
    </row>
    <row r="268">
      <c r="A268" s="26" t="n"/>
      <c r="B268" s="27">
        <f>IF($A268="","",TEXT($A268,"YYYY-MM"))</f>
        <v/>
      </c>
      <c r="C268" s="28" t="n"/>
      <c r="D268" s="28" t="n"/>
      <c r="E268" s="31" t="n"/>
      <c r="F268" s="28" t="n"/>
      <c r="G268" s="28" t="n"/>
      <c r="H268" s="28" t="n"/>
    </row>
    <row r="269">
      <c r="A269" s="26" t="n"/>
      <c r="B269" s="27">
        <f>IF($A269="","",TEXT($A269,"YYYY-MM"))</f>
        <v/>
      </c>
      <c r="C269" s="28" t="n"/>
      <c r="D269" s="28" t="n"/>
      <c r="E269" s="31" t="n"/>
      <c r="F269" s="28" t="n"/>
      <c r="G269" s="28" t="n"/>
      <c r="H269" s="28" t="n"/>
    </row>
    <row r="270">
      <c r="A270" s="26" t="n"/>
      <c r="B270" s="27">
        <f>IF($A270="","",TEXT($A270,"YYYY-MM"))</f>
        <v/>
      </c>
      <c r="C270" s="28" t="n"/>
      <c r="D270" s="28" t="n"/>
      <c r="E270" s="31" t="n"/>
      <c r="F270" s="28" t="n"/>
      <c r="G270" s="28" t="n"/>
      <c r="H270" s="28" t="n"/>
    </row>
    <row r="271">
      <c r="A271" s="26" t="n"/>
      <c r="B271" s="27">
        <f>IF($A271="","",TEXT($A271,"YYYY-MM"))</f>
        <v/>
      </c>
      <c r="C271" s="28" t="n"/>
      <c r="D271" s="28" t="n"/>
      <c r="E271" s="31" t="n"/>
      <c r="F271" s="28" t="n"/>
      <c r="G271" s="28" t="n"/>
      <c r="H271" s="28" t="n"/>
    </row>
    <row r="272">
      <c r="A272" s="26" t="n"/>
      <c r="B272" s="27">
        <f>IF($A272="","",TEXT($A272,"YYYY-MM"))</f>
        <v/>
      </c>
      <c r="C272" s="28" t="n"/>
      <c r="D272" s="28" t="n"/>
      <c r="E272" s="31" t="n"/>
      <c r="F272" s="28" t="n"/>
      <c r="G272" s="28" t="n"/>
      <c r="H272" s="28" t="n"/>
    </row>
    <row r="273">
      <c r="A273" s="26" t="n"/>
      <c r="B273" s="27">
        <f>IF($A273="","",TEXT($A273,"YYYY-MM"))</f>
        <v/>
      </c>
      <c r="C273" s="28" t="n"/>
      <c r="D273" s="28" t="n"/>
      <c r="E273" s="31" t="n"/>
      <c r="F273" s="28" t="n"/>
      <c r="G273" s="28" t="n"/>
      <c r="H273" s="28" t="n"/>
    </row>
    <row r="274">
      <c r="A274" s="26" t="n"/>
      <c r="B274" s="27">
        <f>IF($A274="","",TEXT($A274,"YYYY-MM"))</f>
        <v/>
      </c>
      <c r="C274" s="28" t="n"/>
      <c r="D274" s="28" t="n"/>
      <c r="E274" s="31" t="n"/>
      <c r="F274" s="28" t="n"/>
      <c r="G274" s="28" t="n"/>
      <c r="H274" s="28" t="n"/>
    </row>
    <row r="275">
      <c r="A275" s="26" t="n"/>
      <c r="B275" s="27">
        <f>IF($A275="","",TEXT($A275,"YYYY-MM"))</f>
        <v/>
      </c>
      <c r="C275" s="28" t="n"/>
      <c r="D275" s="28" t="n"/>
      <c r="E275" s="31" t="n"/>
      <c r="F275" s="28" t="n"/>
      <c r="G275" s="28" t="n"/>
      <c r="H275" s="28" t="n"/>
    </row>
    <row r="276">
      <c r="A276" s="26" t="n"/>
      <c r="B276" s="27">
        <f>IF($A276="","",TEXT($A276,"YYYY-MM"))</f>
        <v/>
      </c>
      <c r="C276" s="28" t="n"/>
      <c r="D276" s="28" t="n"/>
      <c r="E276" s="31" t="n"/>
      <c r="F276" s="28" t="n"/>
      <c r="G276" s="28" t="n"/>
      <c r="H276" s="28" t="n"/>
    </row>
    <row r="277">
      <c r="A277" s="26" t="n"/>
      <c r="B277" s="27">
        <f>IF($A277="","",TEXT($A277,"YYYY-MM"))</f>
        <v/>
      </c>
      <c r="C277" s="28" t="n"/>
      <c r="D277" s="28" t="n"/>
      <c r="E277" s="31" t="n"/>
      <c r="F277" s="28" t="n"/>
      <c r="G277" s="28" t="n"/>
      <c r="H277" s="28" t="n"/>
    </row>
    <row r="278">
      <c r="A278" s="26" t="n"/>
      <c r="B278" s="27">
        <f>IF($A278="","",TEXT($A278,"YYYY-MM"))</f>
        <v/>
      </c>
      <c r="C278" s="28" t="n"/>
      <c r="D278" s="28" t="n"/>
      <c r="E278" s="31" t="n"/>
      <c r="F278" s="28" t="n"/>
      <c r="G278" s="28" t="n"/>
      <c r="H278" s="28" t="n"/>
    </row>
    <row r="279">
      <c r="A279" s="26" t="n"/>
      <c r="B279" s="27">
        <f>IF($A279="","",TEXT($A279,"YYYY-MM"))</f>
        <v/>
      </c>
      <c r="C279" s="28" t="n"/>
      <c r="D279" s="28" t="n"/>
      <c r="E279" s="31" t="n"/>
      <c r="F279" s="28" t="n"/>
      <c r="G279" s="28" t="n"/>
      <c r="H279" s="28" t="n"/>
    </row>
    <row r="280">
      <c r="A280" s="26" t="n"/>
      <c r="B280" s="27">
        <f>IF($A280="","",TEXT($A280,"YYYY-MM"))</f>
        <v/>
      </c>
      <c r="C280" s="28" t="n"/>
      <c r="D280" s="28" t="n"/>
      <c r="E280" s="31" t="n"/>
      <c r="F280" s="28" t="n"/>
      <c r="G280" s="28" t="n"/>
      <c r="H280" s="28" t="n"/>
    </row>
    <row r="281">
      <c r="A281" s="26" t="n"/>
      <c r="B281" s="27">
        <f>IF($A281="","",TEXT($A281,"YYYY-MM"))</f>
        <v/>
      </c>
      <c r="C281" s="28" t="n"/>
      <c r="D281" s="28" t="n"/>
      <c r="E281" s="31" t="n"/>
      <c r="F281" s="28" t="n"/>
      <c r="G281" s="28" t="n"/>
      <c r="H281" s="28" t="n"/>
    </row>
    <row r="282">
      <c r="A282" s="26" t="n"/>
      <c r="B282" s="27">
        <f>IF($A282="","",TEXT($A282,"YYYY-MM"))</f>
        <v/>
      </c>
      <c r="C282" s="28" t="n"/>
      <c r="D282" s="28" t="n"/>
      <c r="E282" s="31" t="n"/>
      <c r="F282" s="28" t="n"/>
      <c r="G282" s="28" t="n"/>
      <c r="H282" s="28" t="n"/>
    </row>
    <row r="283">
      <c r="A283" s="26" t="n"/>
      <c r="B283" s="27">
        <f>IF($A283="","",TEXT($A283,"YYYY-MM"))</f>
        <v/>
      </c>
      <c r="C283" s="28" t="n"/>
      <c r="D283" s="28" t="n"/>
      <c r="E283" s="31" t="n"/>
      <c r="F283" s="28" t="n"/>
      <c r="G283" s="28" t="n"/>
      <c r="H283" s="28" t="n"/>
    </row>
    <row r="284">
      <c r="A284" s="26" t="n"/>
      <c r="B284" s="27">
        <f>IF($A284="","",TEXT($A284,"YYYY-MM"))</f>
        <v/>
      </c>
      <c r="C284" s="28" t="n"/>
      <c r="D284" s="28" t="n"/>
      <c r="E284" s="31" t="n"/>
      <c r="F284" s="28" t="n"/>
      <c r="G284" s="28" t="n"/>
      <c r="H284" s="28" t="n"/>
    </row>
    <row r="285">
      <c r="A285" s="26" t="n"/>
      <c r="B285" s="27">
        <f>IF($A285="","",TEXT($A285,"YYYY-MM"))</f>
        <v/>
      </c>
      <c r="C285" s="28" t="n"/>
      <c r="D285" s="28" t="n"/>
      <c r="E285" s="31" t="n"/>
      <c r="F285" s="28" t="n"/>
      <c r="G285" s="28" t="n"/>
      <c r="H285" s="28" t="n"/>
    </row>
    <row r="286">
      <c r="A286" s="26" t="n"/>
      <c r="B286" s="27">
        <f>IF($A286="","",TEXT($A286,"YYYY-MM"))</f>
        <v/>
      </c>
      <c r="C286" s="28" t="n"/>
      <c r="D286" s="28" t="n"/>
      <c r="E286" s="31" t="n"/>
      <c r="F286" s="28" t="n"/>
      <c r="G286" s="28" t="n"/>
      <c r="H286" s="28" t="n"/>
    </row>
    <row r="287">
      <c r="A287" s="26" t="n"/>
      <c r="B287" s="27">
        <f>IF($A287="","",TEXT($A287,"YYYY-MM"))</f>
        <v/>
      </c>
      <c r="C287" s="28" t="n"/>
      <c r="D287" s="28" t="n"/>
      <c r="E287" s="31" t="n"/>
      <c r="F287" s="28" t="n"/>
      <c r="G287" s="28" t="n"/>
      <c r="H287" s="28" t="n"/>
    </row>
    <row r="288">
      <c r="A288" s="26" t="n"/>
      <c r="B288" s="27">
        <f>IF($A288="","",TEXT($A288,"YYYY-MM"))</f>
        <v/>
      </c>
      <c r="C288" s="28" t="n"/>
      <c r="D288" s="28" t="n"/>
      <c r="E288" s="31" t="n"/>
      <c r="F288" s="28" t="n"/>
      <c r="G288" s="28" t="n"/>
      <c r="H288" s="28" t="n"/>
    </row>
    <row r="289">
      <c r="A289" s="26" t="n"/>
      <c r="B289" s="27">
        <f>IF($A289="","",TEXT($A289,"YYYY-MM"))</f>
        <v/>
      </c>
      <c r="C289" s="28" t="n"/>
      <c r="D289" s="28" t="n"/>
      <c r="E289" s="31" t="n"/>
      <c r="F289" s="28" t="n"/>
      <c r="G289" s="28" t="n"/>
      <c r="H289" s="28" t="n"/>
    </row>
    <row r="290">
      <c r="A290" s="26" t="n"/>
      <c r="B290" s="27">
        <f>IF($A290="","",TEXT($A290,"YYYY-MM"))</f>
        <v/>
      </c>
      <c r="C290" s="28" t="n"/>
      <c r="D290" s="28" t="n"/>
      <c r="E290" s="31" t="n"/>
      <c r="F290" s="28" t="n"/>
      <c r="G290" s="28" t="n"/>
      <c r="H290" s="28" t="n"/>
    </row>
    <row r="291">
      <c r="A291" s="26" t="n"/>
      <c r="B291" s="27">
        <f>IF($A291="","",TEXT($A291,"YYYY-MM"))</f>
        <v/>
      </c>
      <c r="C291" s="28" t="n"/>
      <c r="D291" s="28" t="n"/>
      <c r="E291" s="31" t="n"/>
      <c r="F291" s="28" t="n"/>
      <c r="G291" s="28" t="n"/>
      <c r="H291" s="28" t="n"/>
    </row>
    <row r="292">
      <c r="A292" s="26" t="n"/>
      <c r="B292" s="27">
        <f>IF($A292="","",TEXT($A292,"YYYY-MM"))</f>
        <v/>
      </c>
      <c r="C292" s="28" t="n"/>
      <c r="D292" s="28" t="n"/>
      <c r="E292" s="31" t="n"/>
      <c r="F292" s="28" t="n"/>
      <c r="G292" s="28" t="n"/>
      <c r="H292" s="28" t="n"/>
    </row>
    <row r="293">
      <c r="A293" s="26" t="n"/>
      <c r="B293" s="27">
        <f>IF($A293="","",TEXT($A293,"YYYY-MM"))</f>
        <v/>
      </c>
      <c r="C293" s="28" t="n"/>
      <c r="D293" s="28" t="n"/>
      <c r="E293" s="31" t="n"/>
      <c r="F293" s="28" t="n"/>
      <c r="G293" s="28" t="n"/>
      <c r="H293" s="28" t="n"/>
    </row>
    <row r="294">
      <c r="A294" s="26" t="n"/>
      <c r="B294" s="27">
        <f>IF($A294="","",TEXT($A294,"YYYY-MM"))</f>
        <v/>
      </c>
      <c r="C294" s="28" t="n"/>
      <c r="D294" s="28" t="n"/>
      <c r="E294" s="31" t="n"/>
      <c r="F294" s="28" t="n"/>
      <c r="G294" s="28" t="n"/>
      <c r="H294" s="28" t="n"/>
    </row>
    <row r="295">
      <c r="A295" s="26" t="n"/>
      <c r="B295" s="27">
        <f>IF($A295="","",TEXT($A295,"YYYY-MM"))</f>
        <v/>
      </c>
      <c r="C295" s="28" t="n"/>
      <c r="D295" s="28" t="n"/>
      <c r="E295" s="31" t="n"/>
      <c r="F295" s="28" t="n"/>
      <c r="G295" s="28" t="n"/>
      <c r="H295" s="28" t="n"/>
    </row>
    <row r="296">
      <c r="A296" s="26" t="n"/>
      <c r="B296" s="27">
        <f>IF($A296="","",TEXT($A296,"YYYY-MM"))</f>
        <v/>
      </c>
      <c r="C296" s="28" t="n"/>
      <c r="D296" s="28" t="n"/>
      <c r="E296" s="31" t="n"/>
      <c r="F296" s="28" t="n"/>
      <c r="G296" s="28" t="n"/>
      <c r="H296" s="28" t="n"/>
    </row>
    <row r="297">
      <c r="A297" s="26" t="n"/>
      <c r="B297" s="27">
        <f>IF($A297="","",TEXT($A297,"YYYY-MM"))</f>
        <v/>
      </c>
      <c r="C297" s="28" t="n"/>
      <c r="D297" s="28" t="n"/>
      <c r="E297" s="31" t="n"/>
      <c r="F297" s="28" t="n"/>
      <c r="G297" s="28" t="n"/>
      <c r="H297" s="28" t="n"/>
    </row>
    <row r="298">
      <c r="A298" s="26" t="n"/>
      <c r="B298" s="27">
        <f>IF($A298="","",TEXT($A298,"YYYY-MM"))</f>
        <v/>
      </c>
      <c r="C298" s="28" t="n"/>
      <c r="D298" s="28" t="n"/>
      <c r="E298" s="31" t="n"/>
      <c r="F298" s="28" t="n"/>
      <c r="G298" s="28" t="n"/>
      <c r="H298" s="28" t="n"/>
    </row>
    <row r="299">
      <c r="A299" s="26" t="n"/>
      <c r="B299" s="27">
        <f>IF($A299="","",TEXT($A299,"YYYY-MM"))</f>
        <v/>
      </c>
      <c r="C299" s="28" t="n"/>
      <c r="D299" s="28" t="n"/>
      <c r="E299" s="31" t="n"/>
      <c r="F299" s="28" t="n"/>
      <c r="G299" s="28" t="n"/>
      <c r="H299" s="28" t="n"/>
    </row>
    <row r="300">
      <c r="A300" s="26" t="n"/>
      <c r="B300" s="27">
        <f>IF($A300="","",TEXT($A300,"YYYY-MM"))</f>
        <v/>
      </c>
      <c r="C300" s="28" t="n"/>
      <c r="D300" s="28" t="n"/>
      <c r="E300" s="31" t="n"/>
      <c r="F300" s="28" t="n"/>
      <c r="G300" s="28" t="n"/>
      <c r="H300" s="28" t="n"/>
    </row>
    <row r="301">
      <c r="A301" s="26" t="n"/>
      <c r="B301" s="27">
        <f>IF($A301="","",TEXT($A301,"YYYY-MM"))</f>
        <v/>
      </c>
      <c r="C301" s="28" t="n"/>
      <c r="D301" s="28" t="n"/>
      <c r="E301" s="31" t="n"/>
      <c r="F301" s="28" t="n"/>
      <c r="G301" s="28" t="n"/>
      <c r="H301" s="28" t="n"/>
    </row>
    <row r="302">
      <c r="A302" s="26" t="n"/>
      <c r="B302" s="27">
        <f>IF($A302="","",TEXT($A302,"YYYY-MM"))</f>
        <v/>
      </c>
      <c r="C302" s="28" t="n"/>
      <c r="D302" s="28" t="n"/>
      <c r="E302" s="31" t="n"/>
      <c r="F302" s="28" t="n"/>
      <c r="G302" s="28" t="n"/>
      <c r="H302" s="28" t="n"/>
    </row>
    <row r="303">
      <c r="A303" s="26" t="n"/>
      <c r="B303" s="27">
        <f>IF($A303="","",TEXT($A303,"YYYY-MM"))</f>
        <v/>
      </c>
      <c r="C303" s="28" t="n"/>
      <c r="D303" s="28" t="n"/>
      <c r="E303" s="31" t="n"/>
      <c r="F303" s="28" t="n"/>
      <c r="G303" s="28" t="n"/>
      <c r="H303" s="28" t="n"/>
    </row>
    <row r="304">
      <c r="A304" s="26" t="n"/>
      <c r="B304" s="27">
        <f>IF($A304="","",TEXT($A304,"YYYY-MM"))</f>
        <v/>
      </c>
      <c r="C304" s="28" t="n"/>
      <c r="D304" s="28" t="n"/>
      <c r="E304" s="31" t="n"/>
      <c r="F304" s="28" t="n"/>
      <c r="G304" s="28" t="n"/>
      <c r="H304" s="28" t="n"/>
    </row>
  </sheetData>
  <dataValidations count="4">
    <dataValidation sqref="C5:C304" showDropDown="0" showInputMessage="0" showErrorMessage="0" allowBlank="1" type="list">
      <formula1>"Insumos,Descartables,Arriendo,Servicios basicos,Internet,Sueldos,Publicidad,Mantenimiento,Impuestos,Transporte,Otros"</formula1>
    </dataValidation>
    <dataValidation sqref="F5:F304" showDropDown="0" showInputMessage="0" showErrorMessage="0" allowBlank="1" type="list">
      <formula1>"Fijo,Variable"</formula1>
    </dataValidation>
    <dataValidation sqref="G5:G304" showDropDown="0" showInputMessage="0" showErrorMessage="0" allowBlank="1" type="list">
      <formula1>"Efectivo,Transferencia,PayPhone,Tarjeta"</formula1>
    </dataValidation>
    <dataValidation sqref="H5:H304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/>
  </sheetPr>
  <dimension ref="A1:J2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  <col width="16" customWidth="1" min="5" max="5"/>
    <col width="14" customWidth="1" min="6" max="6"/>
    <col width="11" customWidth="1" min="7" max="7"/>
    <col width="15" customWidth="1" min="8" max="8"/>
    <col width="14" customWidth="1" min="9" max="9"/>
    <col width="13" customWidth="1" min="10" max="10"/>
  </cols>
  <sheetData>
    <row r="1" ht="24" customHeight="1">
      <c r="A1" s="1" t="inlineStr">
        <is>
          <t>CIERRE DE CAJA DIARIO</t>
        </is>
      </c>
    </row>
    <row r="2">
      <c r="A2" s="2" t="inlineStr">
        <is>
          <t>Al cerrar: pon el fondo con el que abriste y cuenta el efectivo real. El descuadre te dice si algo se fue.</t>
        </is>
      </c>
    </row>
    <row r="4" ht="30" customHeight="1">
      <c r="A4" s="25" t="inlineStr">
        <is>
          <t>Fecha</t>
        </is>
      </c>
      <c r="B4" s="25" t="inlineStr">
        <is>
          <t>Fondo apertura</t>
        </is>
      </c>
      <c r="C4" s="25" t="inlineStr">
        <is>
          <t>Ventas EFECTIVO</t>
        </is>
      </c>
      <c r="D4" s="25" t="inlineStr">
        <is>
          <t>Ventas TRANSFERENCIA</t>
        </is>
      </c>
      <c r="E4" s="25" t="inlineStr">
        <is>
          <t>Ventas PAYPHONE/Tarjeta</t>
        </is>
      </c>
      <c r="F4" s="25" t="inlineStr">
        <is>
          <t>Gastos en efectivo</t>
        </is>
      </c>
      <c r="G4" s="25" t="inlineStr">
        <is>
          <t>Retiros</t>
        </is>
      </c>
      <c r="H4" s="25" t="inlineStr">
        <is>
          <t>EFECTIVO TEORICO</t>
        </is>
      </c>
      <c r="I4" s="25" t="inlineStr">
        <is>
          <t>Efectivo contado</t>
        </is>
      </c>
      <c r="J4" s="25" t="inlineStr">
        <is>
          <t>DESCUADRE</t>
        </is>
      </c>
    </row>
    <row r="5">
      <c r="A5" s="26" t="n">
        <v>46280</v>
      </c>
      <c r="B5" s="31" t="n">
        <v>20</v>
      </c>
      <c r="C5" s="32">
        <f>IF($A5="","",SUMIFS(VENTAS!$F$5:$F$504,VENTAS!$A$5:$A$504,$A5,VENTAS!$K$5:$K$504,"Efectivo"))</f>
        <v/>
      </c>
      <c r="D5" s="32">
        <f>IF($A5="","",SUMIFS(VENTAS!$F$5:$F$504,VENTAS!$A$5:$A$504,$A5,VENTAS!$K$5:$K$504,"Transferencia"))</f>
        <v/>
      </c>
      <c r="E5" s="32">
        <f>IF($A5="","",SUMIFS(VENTAS!$F$5:$F$504,VENTAS!$A$5:$A$504,$A5,VENTAS!$K$5:$K$504,"PayPhone")+SUMIFS(VENTAS!$F$5:$F$504,VENTAS!$A$5:$A$504,$A5,VENTAS!$K$5:$K$504,"Tarjeta"))</f>
        <v/>
      </c>
      <c r="F5" s="32">
        <f>IF($A5="","",SUMIFS(GASTOS!$E$5:$E$304,GASTOS!$A$5:$A$304,$A5,GASTOS!$G$5:$G$304,"Efectivo",GASTOS!$H$5:$H$304,"SI"))</f>
        <v/>
      </c>
      <c r="G5" s="31" t="n"/>
      <c r="H5" s="17">
        <f>IF($A5="","",$B5+$C5-$F5-N($G5))</f>
        <v/>
      </c>
      <c r="I5" s="31" t="n"/>
      <c r="J5" s="30">
        <f>IF($A5="","",IF($I5="","",$I5-$H5))</f>
        <v/>
      </c>
    </row>
    <row r="6">
      <c r="A6" s="26" t="n"/>
      <c r="B6" s="31" t="n"/>
      <c r="C6" s="32">
        <f>IF($A6="","",SUMIFS(VENTAS!$F$5:$F$504,VENTAS!$A$5:$A$504,$A6,VENTAS!$K$5:$K$504,"Efectivo"))</f>
        <v/>
      </c>
      <c r="D6" s="32">
        <f>IF($A6="","",SUMIFS(VENTAS!$F$5:$F$504,VENTAS!$A$5:$A$504,$A6,VENTAS!$K$5:$K$504,"Transferencia"))</f>
        <v/>
      </c>
      <c r="E6" s="32">
        <f>IF($A6="","",SUMIFS(VENTAS!$F$5:$F$504,VENTAS!$A$5:$A$504,$A6,VENTAS!$K$5:$K$504,"PayPhone")+SUMIFS(VENTAS!$F$5:$F$504,VENTAS!$A$5:$A$504,$A6,VENTAS!$K$5:$K$504,"Tarjeta"))</f>
        <v/>
      </c>
      <c r="F6" s="32">
        <f>IF($A6="","",SUMIFS(GASTOS!$E$5:$E$304,GASTOS!$A$5:$A$304,$A6,GASTOS!$G$5:$G$304,"Efectivo",GASTOS!$H$5:$H$304,"SI"))</f>
        <v/>
      </c>
      <c r="G6" s="31" t="n"/>
      <c r="H6" s="17">
        <f>IF($A6="","",$B6+$C6-$F6-N($G6))</f>
        <v/>
      </c>
      <c r="I6" s="31" t="n"/>
      <c r="J6" s="30">
        <f>IF($A6="","",IF($I6="","",$I6-$H6))</f>
        <v/>
      </c>
    </row>
    <row r="7">
      <c r="A7" s="26" t="n"/>
      <c r="B7" s="31" t="n"/>
      <c r="C7" s="32">
        <f>IF($A7="","",SUMIFS(VENTAS!$F$5:$F$504,VENTAS!$A$5:$A$504,$A7,VENTAS!$K$5:$K$504,"Efectivo"))</f>
        <v/>
      </c>
      <c r="D7" s="32">
        <f>IF($A7="","",SUMIFS(VENTAS!$F$5:$F$504,VENTAS!$A$5:$A$504,$A7,VENTAS!$K$5:$K$504,"Transferencia"))</f>
        <v/>
      </c>
      <c r="E7" s="32">
        <f>IF($A7="","",SUMIFS(VENTAS!$F$5:$F$504,VENTAS!$A$5:$A$504,$A7,VENTAS!$K$5:$K$504,"PayPhone")+SUMIFS(VENTAS!$F$5:$F$504,VENTAS!$A$5:$A$504,$A7,VENTAS!$K$5:$K$504,"Tarjeta"))</f>
        <v/>
      </c>
      <c r="F7" s="32">
        <f>IF($A7="","",SUMIFS(GASTOS!$E$5:$E$304,GASTOS!$A$5:$A$304,$A7,GASTOS!$G$5:$G$304,"Efectivo",GASTOS!$H$5:$H$304,"SI"))</f>
        <v/>
      </c>
      <c r="G7" s="31" t="n"/>
      <c r="H7" s="17">
        <f>IF($A7="","",$B7+$C7-$F7-N($G7))</f>
        <v/>
      </c>
      <c r="I7" s="31" t="n"/>
      <c r="J7" s="30">
        <f>IF($A7="","",IF($I7="","",$I7-$H7))</f>
        <v/>
      </c>
    </row>
    <row r="8">
      <c r="A8" s="26" t="n"/>
      <c r="B8" s="31" t="n"/>
      <c r="C8" s="32">
        <f>IF($A8="","",SUMIFS(VENTAS!$F$5:$F$504,VENTAS!$A$5:$A$504,$A8,VENTAS!$K$5:$K$504,"Efectivo"))</f>
        <v/>
      </c>
      <c r="D8" s="32">
        <f>IF($A8="","",SUMIFS(VENTAS!$F$5:$F$504,VENTAS!$A$5:$A$504,$A8,VENTAS!$K$5:$K$504,"Transferencia"))</f>
        <v/>
      </c>
      <c r="E8" s="32">
        <f>IF($A8="","",SUMIFS(VENTAS!$F$5:$F$504,VENTAS!$A$5:$A$504,$A8,VENTAS!$K$5:$K$504,"PayPhone")+SUMIFS(VENTAS!$F$5:$F$504,VENTAS!$A$5:$A$504,$A8,VENTAS!$K$5:$K$504,"Tarjeta"))</f>
        <v/>
      </c>
      <c r="F8" s="32">
        <f>IF($A8="","",SUMIFS(GASTOS!$E$5:$E$304,GASTOS!$A$5:$A$304,$A8,GASTOS!$G$5:$G$304,"Efectivo",GASTOS!$H$5:$H$304,"SI"))</f>
        <v/>
      </c>
      <c r="G8" s="31" t="n"/>
      <c r="H8" s="17">
        <f>IF($A8="","",$B8+$C8-$F8-N($G8))</f>
        <v/>
      </c>
      <c r="I8" s="31" t="n"/>
      <c r="J8" s="30">
        <f>IF($A8="","",IF($I8="","",$I8-$H8))</f>
        <v/>
      </c>
    </row>
    <row r="9">
      <c r="A9" s="26" t="n"/>
      <c r="B9" s="31" t="n"/>
      <c r="C9" s="32">
        <f>IF($A9="","",SUMIFS(VENTAS!$F$5:$F$504,VENTAS!$A$5:$A$504,$A9,VENTAS!$K$5:$K$504,"Efectivo"))</f>
        <v/>
      </c>
      <c r="D9" s="32">
        <f>IF($A9="","",SUMIFS(VENTAS!$F$5:$F$504,VENTAS!$A$5:$A$504,$A9,VENTAS!$K$5:$K$504,"Transferencia"))</f>
        <v/>
      </c>
      <c r="E9" s="32">
        <f>IF($A9="","",SUMIFS(VENTAS!$F$5:$F$504,VENTAS!$A$5:$A$504,$A9,VENTAS!$K$5:$K$504,"PayPhone")+SUMIFS(VENTAS!$F$5:$F$504,VENTAS!$A$5:$A$504,$A9,VENTAS!$K$5:$K$504,"Tarjeta"))</f>
        <v/>
      </c>
      <c r="F9" s="32">
        <f>IF($A9="","",SUMIFS(GASTOS!$E$5:$E$304,GASTOS!$A$5:$A$304,$A9,GASTOS!$G$5:$G$304,"Efectivo",GASTOS!$H$5:$H$304,"SI"))</f>
        <v/>
      </c>
      <c r="G9" s="31" t="n"/>
      <c r="H9" s="17">
        <f>IF($A9="","",$B9+$C9-$F9-N($G9))</f>
        <v/>
      </c>
      <c r="I9" s="31" t="n"/>
      <c r="J9" s="30">
        <f>IF($A9="","",IF($I9="","",$I9-$H9))</f>
        <v/>
      </c>
    </row>
    <row r="10">
      <c r="A10" s="26" t="n"/>
      <c r="B10" s="31" t="n"/>
      <c r="C10" s="32">
        <f>IF($A10="","",SUMIFS(VENTAS!$F$5:$F$504,VENTAS!$A$5:$A$504,$A10,VENTAS!$K$5:$K$504,"Efectivo"))</f>
        <v/>
      </c>
      <c r="D10" s="32">
        <f>IF($A10="","",SUMIFS(VENTAS!$F$5:$F$504,VENTAS!$A$5:$A$504,$A10,VENTAS!$K$5:$K$504,"Transferencia"))</f>
        <v/>
      </c>
      <c r="E10" s="32">
        <f>IF($A10="","",SUMIFS(VENTAS!$F$5:$F$504,VENTAS!$A$5:$A$504,$A10,VENTAS!$K$5:$K$504,"PayPhone")+SUMIFS(VENTAS!$F$5:$F$504,VENTAS!$A$5:$A$504,$A10,VENTAS!$K$5:$K$504,"Tarjeta"))</f>
        <v/>
      </c>
      <c r="F10" s="32">
        <f>IF($A10="","",SUMIFS(GASTOS!$E$5:$E$304,GASTOS!$A$5:$A$304,$A10,GASTOS!$G$5:$G$304,"Efectivo",GASTOS!$H$5:$H$304,"SI"))</f>
        <v/>
      </c>
      <c r="G10" s="31" t="n"/>
      <c r="H10" s="17">
        <f>IF($A10="","",$B10+$C10-$F10-N($G10))</f>
        <v/>
      </c>
      <c r="I10" s="31" t="n"/>
      <c r="J10" s="30">
        <f>IF($A10="","",IF($I10="","",$I10-$H10))</f>
        <v/>
      </c>
    </row>
    <row r="11">
      <c r="A11" s="26" t="n"/>
      <c r="B11" s="31" t="n"/>
      <c r="C11" s="32">
        <f>IF($A11="","",SUMIFS(VENTAS!$F$5:$F$504,VENTAS!$A$5:$A$504,$A11,VENTAS!$K$5:$K$504,"Efectivo"))</f>
        <v/>
      </c>
      <c r="D11" s="32">
        <f>IF($A11="","",SUMIFS(VENTAS!$F$5:$F$504,VENTAS!$A$5:$A$504,$A11,VENTAS!$K$5:$K$504,"Transferencia"))</f>
        <v/>
      </c>
      <c r="E11" s="32">
        <f>IF($A11="","",SUMIFS(VENTAS!$F$5:$F$504,VENTAS!$A$5:$A$504,$A11,VENTAS!$K$5:$K$504,"PayPhone")+SUMIFS(VENTAS!$F$5:$F$504,VENTAS!$A$5:$A$504,$A11,VENTAS!$K$5:$K$504,"Tarjeta"))</f>
        <v/>
      </c>
      <c r="F11" s="32">
        <f>IF($A11="","",SUMIFS(GASTOS!$E$5:$E$304,GASTOS!$A$5:$A$304,$A11,GASTOS!$G$5:$G$304,"Efectivo",GASTOS!$H$5:$H$304,"SI"))</f>
        <v/>
      </c>
      <c r="G11" s="31" t="n"/>
      <c r="H11" s="17">
        <f>IF($A11="","",$B11+$C11-$F11-N($G11))</f>
        <v/>
      </c>
      <c r="I11" s="31" t="n"/>
      <c r="J11" s="30">
        <f>IF($A11="","",IF($I11="","",$I11-$H11))</f>
        <v/>
      </c>
    </row>
    <row r="12">
      <c r="A12" s="26" t="n"/>
      <c r="B12" s="31" t="n"/>
      <c r="C12" s="32">
        <f>IF($A12="","",SUMIFS(VENTAS!$F$5:$F$504,VENTAS!$A$5:$A$504,$A12,VENTAS!$K$5:$K$504,"Efectivo"))</f>
        <v/>
      </c>
      <c r="D12" s="32">
        <f>IF($A12="","",SUMIFS(VENTAS!$F$5:$F$504,VENTAS!$A$5:$A$504,$A12,VENTAS!$K$5:$K$504,"Transferencia"))</f>
        <v/>
      </c>
      <c r="E12" s="32">
        <f>IF($A12="","",SUMIFS(VENTAS!$F$5:$F$504,VENTAS!$A$5:$A$504,$A12,VENTAS!$K$5:$K$504,"PayPhone")+SUMIFS(VENTAS!$F$5:$F$504,VENTAS!$A$5:$A$504,$A12,VENTAS!$K$5:$K$504,"Tarjeta"))</f>
        <v/>
      </c>
      <c r="F12" s="32">
        <f>IF($A12="","",SUMIFS(GASTOS!$E$5:$E$304,GASTOS!$A$5:$A$304,$A12,GASTOS!$G$5:$G$304,"Efectivo",GASTOS!$H$5:$H$304,"SI"))</f>
        <v/>
      </c>
      <c r="G12" s="31" t="n"/>
      <c r="H12" s="17">
        <f>IF($A12="","",$B12+$C12-$F12-N($G12))</f>
        <v/>
      </c>
      <c r="I12" s="31" t="n"/>
      <c r="J12" s="30">
        <f>IF($A12="","",IF($I12="","",$I12-$H12))</f>
        <v/>
      </c>
    </row>
    <row r="13">
      <c r="A13" s="26" t="n"/>
      <c r="B13" s="31" t="n"/>
      <c r="C13" s="32">
        <f>IF($A13="","",SUMIFS(VENTAS!$F$5:$F$504,VENTAS!$A$5:$A$504,$A13,VENTAS!$K$5:$K$504,"Efectivo"))</f>
        <v/>
      </c>
      <c r="D13" s="32">
        <f>IF($A13="","",SUMIFS(VENTAS!$F$5:$F$504,VENTAS!$A$5:$A$504,$A13,VENTAS!$K$5:$K$504,"Transferencia"))</f>
        <v/>
      </c>
      <c r="E13" s="32">
        <f>IF($A13="","",SUMIFS(VENTAS!$F$5:$F$504,VENTAS!$A$5:$A$504,$A13,VENTAS!$K$5:$K$504,"PayPhone")+SUMIFS(VENTAS!$F$5:$F$504,VENTAS!$A$5:$A$504,$A13,VENTAS!$K$5:$K$504,"Tarjeta"))</f>
        <v/>
      </c>
      <c r="F13" s="32">
        <f>IF($A13="","",SUMIFS(GASTOS!$E$5:$E$304,GASTOS!$A$5:$A$304,$A13,GASTOS!$G$5:$G$304,"Efectivo",GASTOS!$H$5:$H$304,"SI"))</f>
        <v/>
      </c>
      <c r="G13" s="31" t="n"/>
      <c r="H13" s="17">
        <f>IF($A13="","",$B13+$C13-$F13-N($G13))</f>
        <v/>
      </c>
      <c r="I13" s="31" t="n"/>
      <c r="J13" s="30">
        <f>IF($A13="","",IF($I13="","",$I13-$H13))</f>
        <v/>
      </c>
    </row>
    <row r="14">
      <c r="A14" s="26" t="n"/>
      <c r="B14" s="31" t="n"/>
      <c r="C14" s="32">
        <f>IF($A14="","",SUMIFS(VENTAS!$F$5:$F$504,VENTAS!$A$5:$A$504,$A14,VENTAS!$K$5:$K$504,"Efectivo"))</f>
        <v/>
      </c>
      <c r="D14" s="32">
        <f>IF($A14="","",SUMIFS(VENTAS!$F$5:$F$504,VENTAS!$A$5:$A$504,$A14,VENTAS!$K$5:$K$504,"Transferencia"))</f>
        <v/>
      </c>
      <c r="E14" s="32">
        <f>IF($A14="","",SUMIFS(VENTAS!$F$5:$F$504,VENTAS!$A$5:$A$504,$A14,VENTAS!$K$5:$K$504,"PayPhone")+SUMIFS(VENTAS!$F$5:$F$504,VENTAS!$A$5:$A$504,$A14,VENTAS!$K$5:$K$504,"Tarjeta"))</f>
        <v/>
      </c>
      <c r="F14" s="32">
        <f>IF($A14="","",SUMIFS(GASTOS!$E$5:$E$304,GASTOS!$A$5:$A$304,$A14,GASTOS!$G$5:$G$304,"Efectivo",GASTOS!$H$5:$H$304,"SI"))</f>
        <v/>
      </c>
      <c r="G14" s="31" t="n"/>
      <c r="H14" s="17">
        <f>IF($A14="","",$B14+$C14-$F14-N($G14))</f>
        <v/>
      </c>
      <c r="I14" s="31" t="n"/>
      <c r="J14" s="30">
        <f>IF($A14="","",IF($I14="","",$I14-$H14))</f>
        <v/>
      </c>
    </row>
    <row r="15">
      <c r="A15" s="26" t="n"/>
      <c r="B15" s="31" t="n"/>
      <c r="C15" s="32">
        <f>IF($A15="","",SUMIFS(VENTAS!$F$5:$F$504,VENTAS!$A$5:$A$504,$A15,VENTAS!$K$5:$K$504,"Efectivo"))</f>
        <v/>
      </c>
      <c r="D15" s="32">
        <f>IF($A15="","",SUMIFS(VENTAS!$F$5:$F$504,VENTAS!$A$5:$A$504,$A15,VENTAS!$K$5:$K$504,"Transferencia"))</f>
        <v/>
      </c>
      <c r="E15" s="32">
        <f>IF($A15="","",SUMIFS(VENTAS!$F$5:$F$504,VENTAS!$A$5:$A$504,$A15,VENTAS!$K$5:$K$504,"PayPhone")+SUMIFS(VENTAS!$F$5:$F$504,VENTAS!$A$5:$A$504,$A15,VENTAS!$K$5:$K$504,"Tarjeta"))</f>
        <v/>
      </c>
      <c r="F15" s="32">
        <f>IF($A15="","",SUMIFS(GASTOS!$E$5:$E$304,GASTOS!$A$5:$A$304,$A15,GASTOS!$G$5:$G$304,"Efectivo",GASTOS!$H$5:$H$304,"SI"))</f>
        <v/>
      </c>
      <c r="G15" s="31" t="n"/>
      <c r="H15" s="17">
        <f>IF($A15="","",$B15+$C15-$F15-N($G15))</f>
        <v/>
      </c>
      <c r="I15" s="31" t="n"/>
      <c r="J15" s="30">
        <f>IF($A15="","",IF($I15="","",$I15-$H15))</f>
        <v/>
      </c>
    </row>
    <row r="16">
      <c r="A16" s="26" t="n"/>
      <c r="B16" s="31" t="n"/>
      <c r="C16" s="32">
        <f>IF($A16="","",SUMIFS(VENTAS!$F$5:$F$504,VENTAS!$A$5:$A$504,$A16,VENTAS!$K$5:$K$504,"Efectivo"))</f>
        <v/>
      </c>
      <c r="D16" s="32">
        <f>IF($A16="","",SUMIFS(VENTAS!$F$5:$F$504,VENTAS!$A$5:$A$504,$A16,VENTAS!$K$5:$K$504,"Transferencia"))</f>
        <v/>
      </c>
      <c r="E16" s="32">
        <f>IF($A16="","",SUMIFS(VENTAS!$F$5:$F$504,VENTAS!$A$5:$A$504,$A16,VENTAS!$K$5:$K$504,"PayPhone")+SUMIFS(VENTAS!$F$5:$F$504,VENTAS!$A$5:$A$504,$A16,VENTAS!$K$5:$K$504,"Tarjeta"))</f>
        <v/>
      </c>
      <c r="F16" s="32">
        <f>IF($A16="","",SUMIFS(GASTOS!$E$5:$E$304,GASTOS!$A$5:$A$304,$A16,GASTOS!$G$5:$G$304,"Efectivo",GASTOS!$H$5:$H$304,"SI"))</f>
        <v/>
      </c>
      <c r="G16" s="31" t="n"/>
      <c r="H16" s="17">
        <f>IF($A16="","",$B16+$C16-$F16-N($G16))</f>
        <v/>
      </c>
      <c r="I16" s="31" t="n"/>
      <c r="J16" s="30">
        <f>IF($A16="","",IF($I16="","",$I16-$H16))</f>
        <v/>
      </c>
    </row>
    <row r="17">
      <c r="A17" s="26" t="n"/>
      <c r="B17" s="31" t="n"/>
      <c r="C17" s="32">
        <f>IF($A17="","",SUMIFS(VENTAS!$F$5:$F$504,VENTAS!$A$5:$A$504,$A17,VENTAS!$K$5:$K$504,"Efectivo"))</f>
        <v/>
      </c>
      <c r="D17" s="32">
        <f>IF($A17="","",SUMIFS(VENTAS!$F$5:$F$504,VENTAS!$A$5:$A$504,$A17,VENTAS!$K$5:$K$504,"Transferencia"))</f>
        <v/>
      </c>
      <c r="E17" s="32">
        <f>IF($A17="","",SUMIFS(VENTAS!$F$5:$F$504,VENTAS!$A$5:$A$504,$A17,VENTAS!$K$5:$K$504,"PayPhone")+SUMIFS(VENTAS!$F$5:$F$504,VENTAS!$A$5:$A$504,$A17,VENTAS!$K$5:$K$504,"Tarjeta"))</f>
        <v/>
      </c>
      <c r="F17" s="32">
        <f>IF($A17="","",SUMIFS(GASTOS!$E$5:$E$304,GASTOS!$A$5:$A$304,$A17,GASTOS!$G$5:$G$304,"Efectivo",GASTOS!$H$5:$H$304,"SI"))</f>
        <v/>
      </c>
      <c r="G17" s="31" t="n"/>
      <c r="H17" s="17">
        <f>IF($A17="","",$B17+$C17-$F17-N($G17))</f>
        <v/>
      </c>
      <c r="I17" s="31" t="n"/>
      <c r="J17" s="30">
        <f>IF($A17="","",IF($I17="","",$I17-$H17))</f>
        <v/>
      </c>
    </row>
    <row r="18">
      <c r="A18" s="26" t="n"/>
      <c r="B18" s="31" t="n"/>
      <c r="C18" s="32">
        <f>IF($A18="","",SUMIFS(VENTAS!$F$5:$F$504,VENTAS!$A$5:$A$504,$A18,VENTAS!$K$5:$K$504,"Efectivo"))</f>
        <v/>
      </c>
      <c r="D18" s="32">
        <f>IF($A18="","",SUMIFS(VENTAS!$F$5:$F$504,VENTAS!$A$5:$A$504,$A18,VENTAS!$K$5:$K$504,"Transferencia"))</f>
        <v/>
      </c>
      <c r="E18" s="32">
        <f>IF($A18="","",SUMIFS(VENTAS!$F$5:$F$504,VENTAS!$A$5:$A$504,$A18,VENTAS!$K$5:$K$504,"PayPhone")+SUMIFS(VENTAS!$F$5:$F$504,VENTAS!$A$5:$A$504,$A18,VENTAS!$K$5:$K$504,"Tarjeta"))</f>
        <v/>
      </c>
      <c r="F18" s="32">
        <f>IF($A18="","",SUMIFS(GASTOS!$E$5:$E$304,GASTOS!$A$5:$A$304,$A18,GASTOS!$G$5:$G$304,"Efectivo",GASTOS!$H$5:$H$304,"SI"))</f>
        <v/>
      </c>
      <c r="G18" s="31" t="n"/>
      <c r="H18" s="17">
        <f>IF($A18="","",$B18+$C18-$F18-N($G18))</f>
        <v/>
      </c>
      <c r="I18" s="31" t="n"/>
      <c r="J18" s="30">
        <f>IF($A18="","",IF($I18="","",$I18-$H18))</f>
        <v/>
      </c>
    </row>
    <row r="19">
      <c r="A19" s="26" t="n"/>
      <c r="B19" s="31" t="n"/>
      <c r="C19" s="32">
        <f>IF($A19="","",SUMIFS(VENTAS!$F$5:$F$504,VENTAS!$A$5:$A$504,$A19,VENTAS!$K$5:$K$504,"Efectivo"))</f>
        <v/>
      </c>
      <c r="D19" s="32">
        <f>IF($A19="","",SUMIFS(VENTAS!$F$5:$F$504,VENTAS!$A$5:$A$504,$A19,VENTAS!$K$5:$K$504,"Transferencia"))</f>
        <v/>
      </c>
      <c r="E19" s="32">
        <f>IF($A19="","",SUMIFS(VENTAS!$F$5:$F$504,VENTAS!$A$5:$A$504,$A19,VENTAS!$K$5:$K$504,"PayPhone")+SUMIFS(VENTAS!$F$5:$F$504,VENTAS!$A$5:$A$504,$A19,VENTAS!$K$5:$K$504,"Tarjeta"))</f>
        <v/>
      </c>
      <c r="F19" s="32">
        <f>IF($A19="","",SUMIFS(GASTOS!$E$5:$E$304,GASTOS!$A$5:$A$304,$A19,GASTOS!$G$5:$G$304,"Efectivo",GASTOS!$H$5:$H$304,"SI"))</f>
        <v/>
      </c>
      <c r="G19" s="31" t="n"/>
      <c r="H19" s="17">
        <f>IF($A19="","",$B19+$C19-$F19-N($G19))</f>
        <v/>
      </c>
      <c r="I19" s="31" t="n"/>
      <c r="J19" s="30">
        <f>IF($A19="","",IF($I19="","",$I19-$H19))</f>
        <v/>
      </c>
    </row>
    <row r="20">
      <c r="A20" s="26" t="n"/>
      <c r="B20" s="31" t="n"/>
      <c r="C20" s="32">
        <f>IF($A20="","",SUMIFS(VENTAS!$F$5:$F$504,VENTAS!$A$5:$A$504,$A20,VENTAS!$K$5:$K$504,"Efectivo"))</f>
        <v/>
      </c>
      <c r="D20" s="32">
        <f>IF($A20="","",SUMIFS(VENTAS!$F$5:$F$504,VENTAS!$A$5:$A$504,$A20,VENTAS!$K$5:$K$504,"Transferencia"))</f>
        <v/>
      </c>
      <c r="E20" s="32">
        <f>IF($A20="","",SUMIFS(VENTAS!$F$5:$F$504,VENTAS!$A$5:$A$504,$A20,VENTAS!$K$5:$K$504,"PayPhone")+SUMIFS(VENTAS!$F$5:$F$504,VENTAS!$A$5:$A$504,$A20,VENTAS!$K$5:$K$504,"Tarjeta"))</f>
        <v/>
      </c>
      <c r="F20" s="32">
        <f>IF($A20="","",SUMIFS(GASTOS!$E$5:$E$304,GASTOS!$A$5:$A$304,$A20,GASTOS!$G$5:$G$304,"Efectivo",GASTOS!$H$5:$H$304,"SI"))</f>
        <v/>
      </c>
      <c r="G20" s="31" t="n"/>
      <c r="H20" s="17">
        <f>IF($A20="","",$B20+$C20-$F20-N($G20))</f>
        <v/>
      </c>
      <c r="I20" s="31" t="n"/>
      <c r="J20" s="30">
        <f>IF($A20="","",IF($I20="","",$I20-$H20))</f>
        <v/>
      </c>
    </row>
    <row r="21">
      <c r="A21" s="26" t="n"/>
      <c r="B21" s="31" t="n"/>
      <c r="C21" s="32">
        <f>IF($A21="","",SUMIFS(VENTAS!$F$5:$F$504,VENTAS!$A$5:$A$504,$A21,VENTAS!$K$5:$K$504,"Efectivo"))</f>
        <v/>
      </c>
      <c r="D21" s="32">
        <f>IF($A21="","",SUMIFS(VENTAS!$F$5:$F$504,VENTAS!$A$5:$A$504,$A21,VENTAS!$K$5:$K$504,"Transferencia"))</f>
        <v/>
      </c>
      <c r="E21" s="32">
        <f>IF($A21="","",SUMIFS(VENTAS!$F$5:$F$504,VENTAS!$A$5:$A$504,$A21,VENTAS!$K$5:$K$504,"PayPhone")+SUMIFS(VENTAS!$F$5:$F$504,VENTAS!$A$5:$A$504,$A21,VENTAS!$K$5:$K$504,"Tarjeta"))</f>
        <v/>
      </c>
      <c r="F21" s="32">
        <f>IF($A21="","",SUMIFS(GASTOS!$E$5:$E$304,GASTOS!$A$5:$A$304,$A21,GASTOS!$G$5:$G$304,"Efectivo",GASTOS!$H$5:$H$304,"SI"))</f>
        <v/>
      </c>
      <c r="G21" s="31" t="n"/>
      <c r="H21" s="17">
        <f>IF($A21="","",$B21+$C21-$F21-N($G21))</f>
        <v/>
      </c>
      <c r="I21" s="31" t="n"/>
      <c r="J21" s="30">
        <f>IF($A21="","",IF($I21="","",$I21-$H21))</f>
        <v/>
      </c>
    </row>
    <row r="22">
      <c r="A22" s="26" t="n"/>
      <c r="B22" s="31" t="n"/>
      <c r="C22" s="32">
        <f>IF($A22="","",SUMIFS(VENTAS!$F$5:$F$504,VENTAS!$A$5:$A$504,$A22,VENTAS!$K$5:$K$504,"Efectivo"))</f>
        <v/>
      </c>
      <c r="D22" s="32">
        <f>IF($A22="","",SUMIFS(VENTAS!$F$5:$F$504,VENTAS!$A$5:$A$504,$A22,VENTAS!$K$5:$K$504,"Transferencia"))</f>
        <v/>
      </c>
      <c r="E22" s="32">
        <f>IF($A22="","",SUMIFS(VENTAS!$F$5:$F$504,VENTAS!$A$5:$A$504,$A22,VENTAS!$K$5:$K$504,"PayPhone")+SUMIFS(VENTAS!$F$5:$F$504,VENTAS!$A$5:$A$504,$A22,VENTAS!$K$5:$K$504,"Tarjeta"))</f>
        <v/>
      </c>
      <c r="F22" s="32">
        <f>IF($A22="","",SUMIFS(GASTOS!$E$5:$E$304,GASTOS!$A$5:$A$304,$A22,GASTOS!$G$5:$G$304,"Efectivo",GASTOS!$H$5:$H$304,"SI"))</f>
        <v/>
      </c>
      <c r="G22" s="31" t="n"/>
      <c r="H22" s="17">
        <f>IF($A22="","",$B22+$C22-$F22-N($G22))</f>
        <v/>
      </c>
      <c r="I22" s="31" t="n"/>
      <c r="J22" s="30">
        <f>IF($A22="","",IF($I22="","",$I22-$H22))</f>
        <v/>
      </c>
    </row>
    <row r="23">
      <c r="A23" s="26" t="n"/>
      <c r="B23" s="31" t="n"/>
      <c r="C23" s="32">
        <f>IF($A23="","",SUMIFS(VENTAS!$F$5:$F$504,VENTAS!$A$5:$A$504,$A23,VENTAS!$K$5:$K$504,"Efectivo"))</f>
        <v/>
      </c>
      <c r="D23" s="32">
        <f>IF($A23="","",SUMIFS(VENTAS!$F$5:$F$504,VENTAS!$A$5:$A$504,$A23,VENTAS!$K$5:$K$504,"Transferencia"))</f>
        <v/>
      </c>
      <c r="E23" s="32">
        <f>IF($A23="","",SUMIFS(VENTAS!$F$5:$F$504,VENTAS!$A$5:$A$504,$A23,VENTAS!$K$5:$K$504,"PayPhone")+SUMIFS(VENTAS!$F$5:$F$504,VENTAS!$A$5:$A$504,$A23,VENTAS!$K$5:$K$504,"Tarjeta"))</f>
        <v/>
      </c>
      <c r="F23" s="32">
        <f>IF($A23="","",SUMIFS(GASTOS!$E$5:$E$304,GASTOS!$A$5:$A$304,$A23,GASTOS!$G$5:$G$304,"Efectivo",GASTOS!$H$5:$H$304,"SI"))</f>
        <v/>
      </c>
      <c r="G23" s="31" t="n"/>
      <c r="H23" s="17">
        <f>IF($A23="","",$B23+$C23-$F23-N($G23))</f>
        <v/>
      </c>
      <c r="I23" s="31" t="n"/>
      <c r="J23" s="30">
        <f>IF($A23="","",IF($I23="","",$I23-$H23))</f>
        <v/>
      </c>
    </row>
    <row r="24">
      <c r="A24" s="26" t="n"/>
      <c r="B24" s="31" t="n"/>
      <c r="C24" s="32">
        <f>IF($A24="","",SUMIFS(VENTAS!$F$5:$F$504,VENTAS!$A$5:$A$504,$A24,VENTAS!$K$5:$K$504,"Efectivo"))</f>
        <v/>
      </c>
      <c r="D24" s="32">
        <f>IF($A24="","",SUMIFS(VENTAS!$F$5:$F$504,VENTAS!$A$5:$A$504,$A24,VENTAS!$K$5:$K$504,"Transferencia"))</f>
        <v/>
      </c>
      <c r="E24" s="32">
        <f>IF($A24="","",SUMIFS(VENTAS!$F$5:$F$504,VENTAS!$A$5:$A$504,$A24,VENTAS!$K$5:$K$504,"PayPhone")+SUMIFS(VENTAS!$F$5:$F$504,VENTAS!$A$5:$A$504,$A24,VENTAS!$K$5:$K$504,"Tarjeta"))</f>
        <v/>
      </c>
      <c r="F24" s="32">
        <f>IF($A24="","",SUMIFS(GASTOS!$E$5:$E$304,GASTOS!$A$5:$A$304,$A24,GASTOS!$G$5:$G$304,"Efectivo",GASTOS!$H$5:$H$304,"SI"))</f>
        <v/>
      </c>
      <c r="G24" s="31" t="n"/>
      <c r="H24" s="17">
        <f>IF($A24="","",$B24+$C24-$F24-N($G24))</f>
        <v/>
      </c>
      <c r="I24" s="31" t="n"/>
      <c r="J24" s="30">
        <f>IF($A24="","",IF($I24="","",$I24-$H24))</f>
        <v/>
      </c>
    </row>
    <row r="25">
      <c r="A25" s="26" t="n"/>
      <c r="B25" s="31" t="n"/>
      <c r="C25" s="32">
        <f>IF($A25="","",SUMIFS(VENTAS!$F$5:$F$504,VENTAS!$A$5:$A$504,$A25,VENTAS!$K$5:$K$504,"Efectivo"))</f>
        <v/>
      </c>
      <c r="D25" s="32">
        <f>IF($A25="","",SUMIFS(VENTAS!$F$5:$F$504,VENTAS!$A$5:$A$504,$A25,VENTAS!$K$5:$K$504,"Transferencia"))</f>
        <v/>
      </c>
      <c r="E25" s="32">
        <f>IF($A25="","",SUMIFS(VENTAS!$F$5:$F$504,VENTAS!$A$5:$A$504,$A25,VENTAS!$K$5:$K$504,"PayPhone")+SUMIFS(VENTAS!$F$5:$F$504,VENTAS!$A$5:$A$504,$A25,VENTAS!$K$5:$K$504,"Tarjeta"))</f>
        <v/>
      </c>
      <c r="F25" s="32">
        <f>IF($A25="","",SUMIFS(GASTOS!$E$5:$E$304,GASTOS!$A$5:$A$304,$A25,GASTOS!$G$5:$G$304,"Efectivo",GASTOS!$H$5:$H$304,"SI"))</f>
        <v/>
      </c>
      <c r="G25" s="31" t="n"/>
      <c r="H25" s="17">
        <f>IF($A25="","",$B25+$C25-$F25-N($G25))</f>
        <v/>
      </c>
      <c r="I25" s="31" t="n"/>
      <c r="J25" s="30">
        <f>IF($A25="","",IF($I25="","",$I25-$H25))</f>
        <v/>
      </c>
    </row>
    <row r="26">
      <c r="A26" s="26" t="n"/>
      <c r="B26" s="31" t="n"/>
      <c r="C26" s="32">
        <f>IF($A26="","",SUMIFS(VENTAS!$F$5:$F$504,VENTAS!$A$5:$A$504,$A26,VENTAS!$K$5:$K$504,"Efectivo"))</f>
        <v/>
      </c>
      <c r="D26" s="32">
        <f>IF($A26="","",SUMIFS(VENTAS!$F$5:$F$504,VENTAS!$A$5:$A$504,$A26,VENTAS!$K$5:$K$504,"Transferencia"))</f>
        <v/>
      </c>
      <c r="E26" s="32">
        <f>IF($A26="","",SUMIFS(VENTAS!$F$5:$F$504,VENTAS!$A$5:$A$504,$A26,VENTAS!$K$5:$K$504,"PayPhone")+SUMIFS(VENTAS!$F$5:$F$504,VENTAS!$A$5:$A$504,$A26,VENTAS!$K$5:$K$504,"Tarjeta"))</f>
        <v/>
      </c>
      <c r="F26" s="32">
        <f>IF($A26="","",SUMIFS(GASTOS!$E$5:$E$304,GASTOS!$A$5:$A$304,$A26,GASTOS!$G$5:$G$304,"Efectivo",GASTOS!$H$5:$H$304,"SI"))</f>
        <v/>
      </c>
      <c r="G26" s="31" t="n"/>
      <c r="H26" s="17">
        <f>IF($A26="","",$B26+$C26-$F26-N($G26))</f>
        <v/>
      </c>
      <c r="I26" s="31" t="n"/>
      <c r="J26" s="30">
        <f>IF($A26="","",IF($I26="","",$I26-$H26))</f>
        <v/>
      </c>
    </row>
    <row r="27">
      <c r="A27" s="26" t="n"/>
      <c r="B27" s="31" t="n"/>
      <c r="C27" s="32">
        <f>IF($A27="","",SUMIFS(VENTAS!$F$5:$F$504,VENTAS!$A$5:$A$504,$A27,VENTAS!$K$5:$K$504,"Efectivo"))</f>
        <v/>
      </c>
      <c r="D27" s="32">
        <f>IF($A27="","",SUMIFS(VENTAS!$F$5:$F$504,VENTAS!$A$5:$A$504,$A27,VENTAS!$K$5:$K$504,"Transferencia"))</f>
        <v/>
      </c>
      <c r="E27" s="32">
        <f>IF($A27="","",SUMIFS(VENTAS!$F$5:$F$504,VENTAS!$A$5:$A$504,$A27,VENTAS!$K$5:$K$504,"PayPhone")+SUMIFS(VENTAS!$F$5:$F$504,VENTAS!$A$5:$A$504,$A27,VENTAS!$K$5:$K$504,"Tarjeta"))</f>
        <v/>
      </c>
      <c r="F27" s="32">
        <f>IF($A27="","",SUMIFS(GASTOS!$E$5:$E$304,GASTOS!$A$5:$A$304,$A27,GASTOS!$G$5:$G$304,"Efectivo",GASTOS!$H$5:$H$304,"SI"))</f>
        <v/>
      </c>
      <c r="G27" s="31" t="n"/>
      <c r="H27" s="17">
        <f>IF($A27="","",$B27+$C27-$F27-N($G27))</f>
        <v/>
      </c>
      <c r="I27" s="31" t="n"/>
      <c r="J27" s="30">
        <f>IF($A27="","",IF($I27="","",$I27-$H27))</f>
        <v/>
      </c>
    </row>
    <row r="28">
      <c r="A28" s="26" t="n"/>
      <c r="B28" s="31" t="n"/>
      <c r="C28" s="32">
        <f>IF($A28="","",SUMIFS(VENTAS!$F$5:$F$504,VENTAS!$A$5:$A$504,$A28,VENTAS!$K$5:$K$504,"Efectivo"))</f>
        <v/>
      </c>
      <c r="D28" s="32">
        <f>IF($A28="","",SUMIFS(VENTAS!$F$5:$F$504,VENTAS!$A$5:$A$504,$A28,VENTAS!$K$5:$K$504,"Transferencia"))</f>
        <v/>
      </c>
      <c r="E28" s="32">
        <f>IF($A28="","",SUMIFS(VENTAS!$F$5:$F$504,VENTAS!$A$5:$A$504,$A28,VENTAS!$K$5:$K$504,"PayPhone")+SUMIFS(VENTAS!$F$5:$F$504,VENTAS!$A$5:$A$504,$A28,VENTAS!$K$5:$K$504,"Tarjeta"))</f>
        <v/>
      </c>
      <c r="F28" s="32">
        <f>IF($A28="","",SUMIFS(GASTOS!$E$5:$E$304,GASTOS!$A$5:$A$304,$A28,GASTOS!$G$5:$G$304,"Efectivo",GASTOS!$H$5:$H$304,"SI"))</f>
        <v/>
      </c>
      <c r="G28" s="31" t="n"/>
      <c r="H28" s="17">
        <f>IF($A28="","",$B28+$C28-$F28-N($G28))</f>
        <v/>
      </c>
      <c r="I28" s="31" t="n"/>
      <c r="J28" s="30">
        <f>IF($A28="","",IF($I28="","",$I28-$H28))</f>
        <v/>
      </c>
    </row>
    <row r="29">
      <c r="A29" s="26" t="n"/>
      <c r="B29" s="31" t="n"/>
      <c r="C29" s="32">
        <f>IF($A29="","",SUMIFS(VENTAS!$F$5:$F$504,VENTAS!$A$5:$A$504,$A29,VENTAS!$K$5:$K$504,"Efectivo"))</f>
        <v/>
      </c>
      <c r="D29" s="32">
        <f>IF($A29="","",SUMIFS(VENTAS!$F$5:$F$504,VENTAS!$A$5:$A$504,$A29,VENTAS!$K$5:$K$504,"Transferencia"))</f>
        <v/>
      </c>
      <c r="E29" s="32">
        <f>IF($A29="","",SUMIFS(VENTAS!$F$5:$F$504,VENTAS!$A$5:$A$504,$A29,VENTAS!$K$5:$K$504,"PayPhone")+SUMIFS(VENTAS!$F$5:$F$504,VENTAS!$A$5:$A$504,$A29,VENTAS!$K$5:$K$504,"Tarjeta"))</f>
        <v/>
      </c>
      <c r="F29" s="32">
        <f>IF($A29="","",SUMIFS(GASTOS!$E$5:$E$304,GASTOS!$A$5:$A$304,$A29,GASTOS!$G$5:$G$304,"Efectivo",GASTOS!$H$5:$H$304,"SI"))</f>
        <v/>
      </c>
      <c r="G29" s="31" t="n"/>
      <c r="H29" s="17">
        <f>IF($A29="","",$B29+$C29-$F29-N($G29))</f>
        <v/>
      </c>
      <c r="I29" s="31" t="n"/>
      <c r="J29" s="30">
        <f>IF($A29="","",IF($I29="","",$I29-$H29))</f>
        <v/>
      </c>
    </row>
    <row r="30">
      <c r="A30" s="26" t="n"/>
      <c r="B30" s="31" t="n"/>
      <c r="C30" s="32">
        <f>IF($A30="","",SUMIFS(VENTAS!$F$5:$F$504,VENTAS!$A$5:$A$504,$A30,VENTAS!$K$5:$K$504,"Efectivo"))</f>
        <v/>
      </c>
      <c r="D30" s="32">
        <f>IF($A30="","",SUMIFS(VENTAS!$F$5:$F$504,VENTAS!$A$5:$A$504,$A30,VENTAS!$K$5:$K$504,"Transferencia"))</f>
        <v/>
      </c>
      <c r="E30" s="32">
        <f>IF($A30="","",SUMIFS(VENTAS!$F$5:$F$504,VENTAS!$A$5:$A$504,$A30,VENTAS!$K$5:$K$504,"PayPhone")+SUMIFS(VENTAS!$F$5:$F$504,VENTAS!$A$5:$A$504,$A30,VENTAS!$K$5:$K$504,"Tarjeta"))</f>
        <v/>
      </c>
      <c r="F30" s="32">
        <f>IF($A30="","",SUMIFS(GASTOS!$E$5:$E$304,GASTOS!$A$5:$A$304,$A30,GASTOS!$G$5:$G$304,"Efectivo",GASTOS!$H$5:$H$304,"SI"))</f>
        <v/>
      </c>
      <c r="G30" s="31" t="n"/>
      <c r="H30" s="17">
        <f>IF($A30="","",$B30+$C30-$F30-N($G30))</f>
        <v/>
      </c>
      <c r="I30" s="31" t="n"/>
      <c r="J30" s="30">
        <f>IF($A30="","",IF($I30="","",$I30-$H30))</f>
        <v/>
      </c>
    </row>
    <row r="31">
      <c r="A31" s="26" t="n"/>
      <c r="B31" s="31" t="n"/>
      <c r="C31" s="32">
        <f>IF($A31="","",SUMIFS(VENTAS!$F$5:$F$504,VENTAS!$A$5:$A$504,$A31,VENTAS!$K$5:$K$504,"Efectivo"))</f>
        <v/>
      </c>
      <c r="D31" s="32">
        <f>IF($A31="","",SUMIFS(VENTAS!$F$5:$F$504,VENTAS!$A$5:$A$504,$A31,VENTAS!$K$5:$K$504,"Transferencia"))</f>
        <v/>
      </c>
      <c r="E31" s="32">
        <f>IF($A31="","",SUMIFS(VENTAS!$F$5:$F$504,VENTAS!$A$5:$A$504,$A31,VENTAS!$K$5:$K$504,"PayPhone")+SUMIFS(VENTAS!$F$5:$F$504,VENTAS!$A$5:$A$504,$A31,VENTAS!$K$5:$K$504,"Tarjeta"))</f>
        <v/>
      </c>
      <c r="F31" s="32">
        <f>IF($A31="","",SUMIFS(GASTOS!$E$5:$E$304,GASTOS!$A$5:$A$304,$A31,GASTOS!$G$5:$G$304,"Efectivo",GASTOS!$H$5:$H$304,"SI"))</f>
        <v/>
      </c>
      <c r="G31" s="31" t="n"/>
      <c r="H31" s="17">
        <f>IF($A31="","",$B31+$C31-$F31-N($G31))</f>
        <v/>
      </c>
      <c r="I31" s="31" t="n"/>
      <c r="J31" s="30">
        <f>IF($A31="","",IF($I31="","",$I31-$H31))</f>
        <v/>
      </c>
    </row>
    <row r="32">
      <c r="A32" s="26" t="n"/>
      <c r="B32" s="31" t="n"/>
      <c r="C32" s="32">
        <f>IF($A32="","",SUMIFS(VENTAS!$F$5:$F$504,VENTAS!$A$5:$A$504,$A32,VENTAS!$K$5:$K$504,"Efectivo"))</f>
        <v/>
      </c>
      <c r="D32" s="32">
        <f>IF($A32="","",SUMIFS(VENTAS!$F$5:$F$504,VENTAS!$A$5:$A$504,$A32,VENTAS!$K$5:$K$504,"Transferencia"))</f>
        <v/>
      </c>
      <c r="E32" s="32">
        <f>IF($A32="","",SUMIFS(VENTAS!$F$5:$F$504,VENTAS!$A$5:$A$504,$A32,VENTAS!$K$5:$K$504,"PayPhone")+SUMIFS(VENTAS!$F$5:$F$504,VENTAS!$A$5:$A$504,$A32,VENTAS!$K$5:$K$504,"Tarjeta"))</f>
        <v/>
      </c>
      <c r="F32" s="32">
        <f>IF($A32="","",SUMIFS(GASTOS!$E$5:$E$304,GASTOS!$A$5:$A$304,$A32,GASTOS!$G$5:$G$304,"Efectivo",GASTOS!$H$5:$H$304,"SI"))</f>
        <v/>
      </c>
      <c r="G32" s="31" t="n"/>
      <c r="H32" s="17">
        <f>IF($A32="","",$B32+$C32-$F32-N($G32))</f>
        <v/>
      </c>
      <c r="I32" s="31" t="n"/>
      <c r="J32" s="30">
        <f>IF($A32="","",IF($I32="","",$I32-$H32))</f>
        <v/>
      </c>
    </row>
    <row r="33">
      <c r="A33" s="26" t="n"/>
      <c r="B33" s="31" t="n"/>
      <c r="C33" s="32">
        <f>IF($A33="","",SUMIFS(VENTAS!$F$5:$F$504,VENTAS!$A$5:$A$504,$A33,VENTAS!$K$5:$K$504,"Efectivo"))</f>
        <v/>
      </c>
      <c r="D33" s="32">
        <f>IF($A33="","",SUMIFS(VENTAS!$F$5:$F$504,VENTAS!$A$5:$A$504,$A33,VENTAS!$K$5:$K$504,"Transferencia"))</f>
        <v/>
      </c>
      <c r="E33" s="32">
        <f>IF($A33="","",SUMIFS(VENTAS!$F$5:$F$504,VENTAS!$A$5:$A$504,$A33,VENTAS!$K$5:$K$504,"PayPhone")+SUMIFS(VENTAS!$F$5:$F$504,VENTAS!$A$5:$A$504,$A33,VENTAS!$K$5:$K$504,"Tarjeta"))</f>
        <v/>
      </c>
      <c r="F33" s="32">
        <f>IF($A33="","",SUMIFS(GASTOS!$E$5:$E$304,GASTOS!$A$5:$A$304,$A33,GASTOS!$G$5:$G$304,"Efectivo",GASTOS!$H$5:$H$304,"SI"))</f>
        <v/>
      </c>
      <c r="G33" s="31" t="n"/>
      <c r="H33" s="17">
        <f>IF($A33="","",$B33+$C33-$F33-N($G33))</f>
        <v/>
      </c>
      <c r="I33" s="31" t="n"/>
      <c r="J33" s="30">
        <f>IF($A33="","",IF($I33="","",$I33-$H33))</f>
        <v/>
      </c>
    </row>
    <row r="34">
      <c r="A34" s="26" t="n"/>
      <c r="B34" s="31" t="n"/>
      <c r="C34" s="32">
        <f>IF($A34="","",SUMIFS(VENTAS!$F$5:$F$504,VENTAS!$A$5:$A$504,$A34,VENTAS!$K$5:$K$504,"Efectivo"))</f>
        <v/>
      </c>
      <c r="D34" s="32">
        <f>IF($A34="","",SUMIFS(VENTAS!$F$5:$F$504,VENTAS!$A$5:$A$504,$A34,VENTAS!$K$5:$K$504,"Transferencia"))</f>
        <v/>
      </c>
      <c r="E34" s="32">
        <f>IF($A34="","",SUMIFS(VENTAS!$F$5:$F$504,VENTAS!$A$5:$A$504,$A34,VENTAS!$K$5:$K$504,"PayPhone")+SUMIFS(VENTAS!$F$5:$F$504,VENTAS!$A$5:$A$504,$A34,VENTAS!$K$5:$K$504,"Tarjeta"))</f>
        <v/>
      </c>
      <c r="F34" s="32">
        <f>IF($A34="","",SUMIFS(GASTOS!$E$5:$E$304,GASTOS!$A$5:$A$304,$A34,GASTOS!$G$5:$G$304,"Efectivo",GASTOS!$H$5:$H$304,"SI"))</f>
        <v/>
      </c>
      <c r="G34" s="31" t="n"/>
      <c r="H34" s="17">
        <f>IF($A34="","",$B34+$C34-$F34-N($G34))</f>
        <v/>
      </c>
      <c r="I34" s="31" t="n"/>
      <c r="J34" s="30">
        <f>IF($A34="","",IF($I34="","",$I34-$H34))</f>
        <v/>
      </c>
    </row>
    <row r="35">
      <c r="A35" s="26" t="n"/>
      <c r="B35" s="31" t="n"/>
      <c r="C35" s="32">
        <f>IF($A35="","",SUMIFS(VENTAS!$F$5:$F$504,VENTAS!$A$5:$A$504,$A35,VENTAS!$K$5:$K$504,"Efectivo"))</f>
        <v/>
      </c>
      <c r="D35" s="32">
        <f>IF($A35="","",SUMIFS(VENTAS!$F$5:$F$504,VENTAS!$A$5:$A$504,$A35,VENTAS!$K$5:$K$504,"Transferencia"))</f>
        <v/>
      </c>
      <c r="E35" s="32">
        <f>IF($A35="","",SUMIFS(VENTAS!$F$5:$F$504,VENTAS!$A$5:$A$504,$A35,VENTAS!$K$5:$K$504,"PayPhone")+SUMIFS(VENTAS!$F$5:$F$504,VENTAS!$A$5:$A$504,$A35,VENTAS!$K$5:$K$504,"Tarjeta"))</f>
        <v/>
      </c>
      <c r="F35" s="32">
        <f>IF($A35="","",SUMIFS(GASTOS!$E$5:$E$304,GASTOS!$A$5:$A$304,$A35,GASTOS!$G$5:$G$304,"Efectivo",GASTOS!$H$5:$H$304,"SI"))</f>
        <v/>
      </c>
      <c r="G35" s="31" t="n"/>
      <c r="H35" s="17">
        <f>IF($A35="","",$B35+$C35-$F35-N($G35))</f>
        <v/>
      </c>
      <c r="I35" s="31" t="n"/>
      <c r="J35" s="30">
        <f>IF($A35="","",IF($I35="","",$I35-$H35))</f>
        <v/>
      </c>
    </row>
    <row r="36">
      <c r="A36" s="26" t="n"/>
      <c r="B36" s="31" t="n"/>
      <c r="C36" s="32">
        <f>IF($A36="","",SUMIFS(VENTAS!$F$5:$F$504,VENTAS!$A$5:$A$504,$A36,VENTAS!$K$5:$K$504,"Efectivo"))</f>
        <v/>
      </c>
      <c r="D36" s="32">
        <f>IF($A36="","",SUMIFS(VENTAS!$F$5:$F$504,VENTAS!$A$5:$A$504,$A36,VENTAS!$K$5:$K$504,"Transferencia"))</f>
        <v/>
      </c>
      <c r="E36" s="32">
        <f>IF($A36="","",SUMIFS(VENTAS!$F$5:$F$504,VENTAS!$A$5:$A$504,$A36,VENTAS!$K$5:$K$504,"PayPhone")+SUMIFS(VENTAS!$F$5:$F$504,VENTAS!$A$5:$A$504,$A36,VENTAS!$K$5:$K$504,"Tarjeta"))</f>
        <v/>
      </c>
      <c r="F36" s="32">
        <f>IF($A36="","",SUMIFS(GASTOS!$E$5:$E$304,GASTOS!$A$5:$A$304,$A36,GASTOS!$G$5:$G$304,"Efectivo",GASTOS!$H$5:$H$304,"SI"))</f>
        <v/>
      </c>
      <c r="G36" s="31" t="n"/>
      <c r="H36" s="17">
        <f>IF($A36="","",$B36+$C36-$F36-N($G36))</f>
        <v/>
      </c>
      <c r="I36" s="31" t="n"/>
      <c r="J36" s="30">
        <f>IF($A36="","",IF($I36="","",$I36-$H36))</f>
        <v/>
      </c>
    </row>
    <row r="37">
      <c r="A37" s="26" t="n"/>
      <c r="B37" s="31" t="n"/>
      <c r="C37" s="32">
        <f>IF($A37="","",SUMIFS(VENTAS!$F$5:$F$504,VENTAS!$A$5:$A$504,$A37,VENTAS!$K$5:$K$504,"Efectivo"))</f>
        <v/>
      </c>
      <c r="D37" s="32">
        <f>IF($A37="","",SUMIFS(VENTAS!$F$5:$F$504,VENTAS!$A$5:$A$504,$A37,VENTAS!$K$5:$K$504,"Transferencia"))</f>
        <v/>
      </c>
      <c r="E37" s="32">
        <f>IF($A37="","",SUMIFS(VENTAS!$F$5:$F$504,VENTAS!$A$5:$A$504,$A37,VENTAS!$K$5:$K$504,"PayPhone")+SUMIFS(VENTAS!$F$5:$F$504,VENTAS!$A$5:$A$504,$A37,VENTAS!$K$5:$K$504,"Tarjeta"))</f>
        <v/>
      </c>
      <c r="F37" s="32">
        <f>IF($A37="","",SUMIFS(GASTOS!$E$5:$E$304,GASTOS!$A$5:$A$304,$A37,GASTOS!$G$5:$G$304,"Efectivo",GASTOS!$H$5:$H$304,"SI"))</f>
        <v/>
      </c>
      <c r="G37" s="31" t="n"/>
      <c r="H37" s="17">
        <f>IF($A37="","",$B37+$C37-$F37-N($G37))</f>
        <v/>
      </c>
      <c r="I37" s="31" t="n"/>
      <c r="J37" s="30">
        <f>IF($A37="","",IF($I37="","",$I37-$H37))</f>
        <v/>
      </c>
    </row>
    <row r="38">
      <c r="A38" s="26" t="n"/>
      <c r="B38" s="31" t="n"/>
      <c r="C38" s="32">
        <f>IF($A38="","",SUMIFS(VENTAS!$F$5:$F$504,VENTAS!$A$5:$A$504,$A38,VENTAS!$K$5:$K$504,"Efectivo"))</f>
        <v/>
      </c>
      <c r="D38" s="32">
        <f>IF($A38="","",SUMIFS(VENTAS!$F$5:$F$504,VENTAS!$A$5:$A$504,$A38,VENTAS!$K$5:$K$504,"Transferencia"))</f>
        <v/>
      </c>
      <c r="E38" s="32">
        <f>IF($A38="","",SUMIFS(VENTAS!$F$5:$F$504,VENTAS!$A$5:$A$504,$A38,VENTAS!$K$5:$K$504,"PayPhone")+SUMIFS(VENTAS!$F$5:$F$504,VENTAS!$A$5:$A$504,$A38,VENTAS!$K$5:$K$504,"Tarjeta"))</f>
        <v/>
      </c>
      <c r="F38" s="32">
        <f>IF($A38="","",SUMIFS(GASTOS!$E$5:$E$304,GASTOS!$A$5:$A$304,$A38,GASTOS!$G$5:$G$304,"Efectivo",GASTOS!$H$5:$H$304,"SI"))</f>
        <v/>
      </c>
      <c r="G38" s="31" t="n"/>
      <c r="H38" s="17">
        <f>IF($A38="","",$B38+$C38-$F38-N($G38))</f>
        <v/>
      </c>
      <c r="I38" s="31" t="n"/>
      <c r="J38" s="30">
        <f>IF($A38="","",IF($I38="","",$I38-$H38))</f>
        <v/>
      </c>
    </row>
    <row r="39">
      <c r="A39" s="26" t="n"/>
      <c r="B39" s="31" t="n"/>
      <c r="C39" s="32">
        <f>IF($A39="","",SUMIFS(VENTAS!$F$5:$F$504,VENTAS!$A$5:$A$504,$A39,VENTAS!$K$5:$K$504,"Efectivo"))</f>
        <v/>
      </c>
      <c r="D39" s="32">
        <f>IF($A39="","",SUMIFS(VENTAS!$F$5:$F$504,VENTAS!$A$5:$A$504,$A39,VENTAS!$K$5:$K$504,"Transferencia"))</f>
        <v/>
      </c>
      <c r="E39" s="32">
        <f>IF($A39="","",SUMIFS(VENTAS!$F$5:$F$504,VENTAS!$A$5:$A$504,$A39,VENTAS!$K$5:$K$504,"PayPhone")+SUMIFS(VENTAS!$F$5:$F$504,VENTAS!$A$5:$A$504,$A39,VENTAS!$K$5:$K$504,"Tarjeta"))</f>
        <v/>
      </c>
      <c r="F39" s="32">
        <f>IF($A39="","",SUMIFS(GASTOS!$E$5:$E$304,GASTOS!$A$5:$A$304,$A39,GASTOS!$G$5:$G$304,"Efectivo",GASTOS!$H$5:$H$304,"SI"))</f>
        <v/>
      </c>
      <c r="G39" s="31" t="n"/>
      <c r="H39" s="17">
        <f>IF($A39="","",$B39+$C39-$F39-N($G39))</f>
        <v/>
      </c>
      <c r="I39" s="31" t="n"/>
      <c r="J39" s="30">
        <f>IF($A39="","",IF($I39="","",$I39-$H39))</f>
        <v/>
      </c>
    </row>
    <row r="40">
      <c r="A40" s="26" t="n"/>
      <c r="B40" s="31" t="n"/>
      <c r="C40" s="32">
        <f>IF($A40="","",SUMIFS(VENTAS!$F$5:$F$504,VENTAS!$A$5:$A$504,$A40,VENTAS!$K$5:$K$504,"Efectivo"))</f>
        <v/>
      </c>
      <c r="D40" s="32">
        <f>IF($A40="","",SUMIFS(VENTAS!$F$5:$F$504,VENTAS!$A$5:$A$504,$A40,VENTAS!$K$5:$K$504,"Transferencia"))</f>
        <v/>
      </c>
      <c r="E40" s="32">
        <f>IF($A40="","",SUMIFS(VENTAS!$F$5:$F$504,VENTAS!$A$5:$A$504,$A40,VENTAS!$K$5:$K$504,"PayPhone")+SUMIFS(VENTAS!$F$5:$F$504,VENTAS!$A$5:$A$504,$A40,VENTAS!$K$5:$K$504,"Tarjeta"))</f>
        <v/>
      </c>
      <c r="F40" s="32">
        <f>IF($A40="","",SUMIFS(GASTOS!$E$5:$E$304,GASTOS!$A$5:$A$304,$A40,GASTOS!$G$5:$G$304,"Efectivo",GASTOS!$H$5:$H$304,"SI"))</f>
        <v/>
      </c>
      <c r="G40" s="31" t="n"/>
      <c r="H40" s="17">
        <f>IF($A40="","",$B40+$C40-$F40-N($G40))</f>
        <v/>
      </c>
      <c r="I40" s="31" t="n"/>
      <c r="J40" s="30">
        <f>IF($A40="","",IF($I40="","",$I40-$H40))</f>
        <v/>
      </c>
    </row>
    <row r="41">
      <c r="A41" s="26" t="n"/>
      <c r="B41" s="31" t="n"/>
      <c r="C41" s="32">
        <f>IF($A41="","",SUMIFS(VENTAS!$F$5:$F$504,VENTAS!$A$5:$A$504,$A41,VENTAS!$K$5:$K$504,"Efectivo"))</f>
        <v/>
      </c>
      <c r="D41" s="32">
        <f>IF($A41="","",SUMIFS(VENTAS!$F$5:$F$504,VENTAS!$A$5:$A$504,$A41,VENTAS!$K$5:$K$504,"Transferencia"))</f>
        <v/>
      </c>
      <c r="E41" s="32">
        <f>IF($A41="","",SUMIFS(VENTAS!$F$5:$F$504,VENTAS!$A$5:$A$504,$A41,VENTAS!$K$5:$K$504,"PayPhone")+SUMIFS(VENTAS!$F$5:$F$504,VENTAS!$A$5:$A$504,$A41,VENTAS!$K$5:$K$504,"Tarjeta"))</f>
        <v/>
      </c>
      <c r="F41" s="32">
        <f>IF($A41="","",SUMIFS(GASTOS!$E$5:$E$304,GASTOS!$A$5:$A$304,$A41,GASTOS!$G$5:$G$304,"Efectivo",GASTOS!$H$5:$H$304,"SI"))</f>
        <v/>
      </c>
      <c r="G41" s="31" t="n"/>
      <c r="H41" s="17">
        <f>IF($A41="","",$B41+$C41-$F41-N($G41))</f>
        <v/>
      </c>
      <c r="I41" s="31" t="n"/>
      <c r="J41" s="30">
        <f>IF($A41="","",IF($I41="","",$I41-$H41))</f>
        <v/>
      </c>
    </row>
    <row r="42">
      <c r="A42" s="26" t="n"/>
      <c r="B42" s="31" t="n"/>
      <c r="C42" s="32">
        <f>IF($A42="","",SUMIFS(VENTAS!$F$5:$F$504,VENTAS!$A$5:$A$504,$A42,VENTAS!$K$5:$K$504,"Efectivo"))</f>
        <v/>
      </c>
      <c r="D42" s="32">
        <f>IF($A42="","",SUMIFS(VENTAS!$F$5:$F$504,VENTAS!$A$5:$A$504,$A42,VENTAS!$K$5:$K$504,"Transferencia"))</f>
        <v/>
      </c>
      <c r="E42" s="32">
        <f>IF($A42="","",SUMIFS(VENTAS!$F$5:$F$504,VENTAS!$A$5:$A$504,$A42,VENTAS!$K$5:$K$504,"PayPhone")+SUMIFS(VENTAS!$F$5:$F$504,VENTAS!$A$5:$A$504,$A42,VENTAS!$K$5:$K$504,"Tarjeta"))</f>
        <v/>
      </c>
      <c r="F42" s="32">
        <f>IF($A42="","",SUMIFS(GASTOS!$E$5:$E$304,GASTOS!$A$5:$A$304,$A42,GASTOS!$G$5:$G$304,"Efectivo",GASTOS!$H$5:$H$304,"SI"))</f>
        <v/>
      </c>
      <c r="G42" s="31" t="n"/>
      <c r="H42" s="17">
        <f>IF($A42="","",$B42+$C42-$F42-N($G42))</f>
        <v/>
      </c>
      <c r="I42" s="31" t="n"/>
      <c r="J42" s="30">
        <f>IF($A42="","",IF($I42="","",$I42-$H42))</f>
        <v/>
      </c>
    </row>
    <row r="43">
      <c r="A43" s="26" t="n"/>
      <c r="B43" s="31" t="n"/>
      <c r="C43" s="32">
        <f>IF($A43="","",SUMIFS(VENTAS!$F$5:$F$504,VENTAS!$A$5:$A$504,$A43,VENTAS!$K$5:$K$504,"Efectivo"))</f>
        <v/>
      </c>
      <c r="D43" s="32">
        <f>IF($A43="","",SUMIFS(VENTAS!$F$5:$F$504,VENTAS!$A$5:$A$504,$A43,VENTAS!$K$5:$K$504,"Transferencia"))</f>
        <v/>
      </c>
      <c r="E43" s="32">
        <f>IF($A43="","",SUMIFS(VENTAS!$F$5:$F$504,VENTAS!$A$5:$A$504,$A43,VENTAS!$K$5:$K$504,"PayPhone")+SUMIFS(VENTAS!$F$5:$F$504,VENTAS!$A$5:$A$504,$A43,VENTAS!$K$5:$K$504,"Tarjeta"))</f>
        <v/>
      </c>
      <c r="F43" s="32">
        <f>IF($A43="","",SUMIFS(GASTOS!$E$5:$E$304,GASTOS!$A$5:$A$304,$A43,GASTOS!$G$5:$G$304,"Efectivo",GASTOS!$H$5:$H$304,"SI"))</f>
        <v/>
      </c>
      <c r="G43" s="31" t="n"/>
      <c r="H43" s="17">
        <f>IF($A43="","",$B43+$C43-$F43-N($G43))</f>
        <v/>
      </c>
      <c r="I43" s="31" t="n"/>
      <c r="J43" s="30">
        <f>IF($A43="","",IF($I43="","",$I43-$H43))</f>
        <v/>
      </c>
    </row>
    <row r="44">
      <c r="A44" s="26" t="n"/>
      <c r="B44" s="31" t="n"/>
      <c r="C44" s="32">
        <f>IF($A44="","",SUMIFS(VENTAS!$F$5:$F$504,VENTAS!$A$5:$A$504,$A44,VENTAS!$K$5:$K$504,"Efectivo"))</f>
        <v/>
      </c>
      <c r="D44" s="32">
        <f>IF($A44="","",SUMIFS(VENTAS!$F$5:$F$504,VENTAS!$A$5:$A$504,$A44,VENTAS!$K$5:$K$504,"Transferencia"))</f>
        <v/>
      </c>
      <c r="E44" s="32">
        <f>IF($A44="","",SUMIFS(VENTAS!$F$5:$F$504,VENTAS!$A$5:$A$504,$A44,VENTAS!$K$5:$K$504,"PayPhone")+SUMIFS(VENTAS!$F$5:$F$504,VENTAS!$A$5:$A$504,$A44,VENTAS!$K$5:$K$504,"Tarjeta"))</f>
        <v/>
      </c>
      <c r="F44" s="32">
        <f>IF($A44="","",SUMIFS(GASTOS!$E$5:$E$304,GASTOS!$A$5:$A$304,$A44,GASTOS!$G$5:$G$304,"Efectivo",GASTOS!$H$5:$H$304,"SI"))</f>
        <v/>
      </c>
      <c r="G44" s="31" t="n"/>
      <c r="H44" s="17">
        <f>IF($A44="","",$B44+$C44-$F44-N($G44))</f>
        <v/>
      </c>
      <c r="I44" s="31" t="n"/>
      <c r="J44" s="30">
        <f>IF($A44="","",IF($I44="","",$I44-$H44))</f>
        <v/>
      </c>
    </row>
    <row r="45">
      <c r="A45" s="26" t="n"/>
      <c r="B45" s="31" t="n"/>
      <c r="C45" s="32">
        <f>IF($A45="","",SUMIFS(VENTAS!$F$5:$F$504,VENTAS!$A$5:$A$504,$A45,VENTAS!$K$5:$K$504,"Efectivo"))</f>
        <v/>
      </c>
      <c r="D45" s="32">
        <f>IF($A45="","",SUMIFS(VENTAS!$F$5:$F$504,VENTAS!$A$5:$A$504,$A45,VENTAS!$K$5:$K$504,"Transferencia"))</f>
        <v/>
      </c>
      <c r="E45" s="32">
        <f>IF($A45="","",SUMIFS(VENTAS!$F$5:$F$504,VENTAS!$A$5:$A$504,$A45,VENTAS!$K$5:$K$504,"PayPhone")+SUMIFS(VENTAS!$F$5:$F$504,VENTAS!$A$5:$A$504,$A45,VENTAS!$K$5:$K$504,"Tarjeta"))</f>
        <v/>
      </c>
      <c r="F45" s="32">
        <f>IF($A45="","",SUMIFS(GASTOS!$E$5:$E$304,GASTOS!$A$5:$A$304,$A45,GASTOS!$G$5:$G$304,"Efectivo",GASTOS!$H$5:$H$304,"SI"))</f>
        <v/>
      </c>
      <c r="G45" s="31" t="n"/>
      <c r="H45" s="17">
        <f>IF($A45="","",$B45+$C45-$F45-N($G45))</f>
        <v/>
      </c>
      <c r="I45" s="31" t="n"/>
      <c r="J45" s="30">
        <f>IF($A45="","",IF($I45="","",$I45-$H45))</f>
        <v/>
      </c>
    </row>
    <row r="46">
      <c r="A46" s="26" t="n"/>
      <c r="B46" s="31" t="n"/>
      <c r="C46" s="32">
        <f>IF($A46="","",SUMIFS(VENTAS!$F$5:$F$504,VENTAS!$A$5:$A$504,$A46,VENTAS!$K$5:$K$504,"Efectivo"))</f>
        <v/>
      </c>
      <c r="D46" s="32">
        <f>IF($A46="","",SUMIFS(VENTAS!$F$5:$F$504,VENTAS!$A$5:$A$504,$A46,VENTAS!$K$5:$K$504,"Transferencia"))</f>
        <v/>
      </c>
      <c r="E46" s="32">
        <f>IF($A46="","",SUMIFS(VENTAS!$F$5:$F$504,VENTAS!$A$5:$A$504,$A46,VENTAS!$K$5:$K$504,"PayPhone")+SUMIFS(VENTAS!$F$5:$F$504,VENTAS!$A$5:$A$504,$A46,VENTAS!$K$5:$K$504,"Tarjeta"))</f>
        <v/>
      </c>
      <c r="F46" s="32">
        <f>IF($A46="","",SUMIFS(GASTOS!$E$5:$E$304,GASTOS!$A$5:$A$304,$A46,GASTOS!$G$5:$G$304,"Efectivo",GASTOS!$H$5:$H$304,"SI"))</f>
        <v/>
      </c>
      <c r="G46" s="31" t="n"/>
      <c r="H46" s="17">
        <f>IF($A46="","",$B46+$C46-$F46-N($G46))</f>
        <v/>
      </c>
      <c r="I46" s="31" t="n"/>
      <c r="J46" s="30">
        <f>IF($A46="","",IF($I46="","",$I46-$H46))</f>
        <v/>
      </c>
    </row>
    <row r="47">
      <c r="A47" s="26" t="n"/>
      <c r="B47" s="31" t="n"/>
      <c r="C47" s="32">
        <f>IF($A47="","",SUMIFS(VENTAS!$F$5:$F$504,VENTAS!$A$5:$A$504,$A47,VENTAS!$K$5:$K$504,"Efectivo"))</f>
        <v/>
      </c>
      <c r="D47" s="32">
        <f>IF($A47="","",SUMIFS(VENTAS!$F$5:$F$504,VENTAS!$A$5:$A$504,$A47,VENTAS!$K$5:$K$504,"Transferencia"))</f>
        <v/>
      </c>
      <c r="E47" s="32">
        <f>IF($A47="","",SUMIFS(VENTAS!$F$5:$F$504,VENTAS!$A$5:$A$504,$A47,VENTAS!$K$5:$K$504,"PayPhone")+SUMIFS(VENTAS!$F$5:$F$504,VENTAS!$A$5:$A$504,$A47,VENTAS!$K$5:$K$504,"Tarjeta"))</f>
        <v/>
      </c>
      <c r="F47" s="32">
        <f>IF($A47="","",SUMIFS(GASTOS!$E$5:$E$304,GASTOS!$A$5:$A$304,$A47,GASTOS!$G$5:$G$304,"Efectivo",GASTOS!$H$5:$H$304,"SI"))</f>
        <v/>
      </c>
      <c r="G47" s="31" t="n"/>
      <c r="H47" s="17">
        <f>IF($A47="","",$B47+$C47-$F47-N($G47))</f>
        <v/>
      </c>
      <c r="I47" s="31" t="n"/>
      <c r="J47" s="30">
        <f>IF($A47="","",IF($I47="","",$I47-$H47))</f>
        <v/>
      </c>
    </row>
    <row r="48">
      <c r="A48" s="26" t="n"/>
      <c r="B48" s="31" t="n"/>
      <c r="C48" s="32">
        <f>IF($A48="","",SUMIFS(VENTAS!$F$5:$F$504,VENTAS!$A$5:$A$504,$A48,VENTAS!$K$5:$K$504,"Efectivo"))</f>
        <v/>
      </c>
      <c r="D48" s="32">
        <f>IF($A48="","",SUMIFS(VENTAS!$F$5:$F$504,VENTAS!$A$5:$A$504,$A48,VENTAS!$K$5:$K$504,"Transferencia"))</f>
        <v/>
      </c>
      <c r="E48" s="32">
        <f>IF($A48="","",SUMIFS(VENTAS!$F$5:$F$504,VENTAS!$A$5:$A$504,$A48,VENTAS!$K$5:$K$504,"PayPhone")+SUMIFS(VENTAS!$F$5:$F$504,VENTAS!$A$5:$A$504,$A48,VENTAS!$K$5:$K$504,"Tarjeta"))</f>
        <v/>
      </c>
      <c r="F48" s="32">
        <f>IF($A48="","",SUMIFS(GASTOS!$E$5:$E$304,GASTOS!$A$5:$A$304,$A48,GASTOS!$G$5:$G$304,"Efectivo",GASTOS!$H$5:$H$304,"SI"))</f>
        <v/>
      </c>
      <c r="G48" s="31" t="n"/>
      <c r="H48" s="17">
        <f>IF($A48="","",$B48+$C48-$F48-N($G48))</f>
        <v/>
      </c>
      <c r="I48" s="31" t="n"/>
      <c r="J48" s="30">
        <f>IF($A48="","",IF($I48="","",$I48-$H48))</f>
        <v/>
      </c>
    </row>
    <row r="49">
      <c r="A49" s="26" t="n"/>
      <c r="B49" s="31" t="n"/>
      <c r="C49" s="32">
        <f>IF($A49="","",SUMIFS(VENTAS!$F$5:$F$504,VENTAS!$A$5:$A$504,$A49,VENTAS!$K$5:$K$504,"Efectivo"))</f>
        <v/>
      </c>
      <c r="D49" s="32">
        <f>IF($A49="","",SUMIFS(VENTAS!$F$5:$F$504,VENTAS!$A$5:$A$504,$A49,VENTAS!$K$5:$K$504,"Transferencia"))</f>
        <v/>
      </c>
      <c r="E49" s="32">
        <f>IF($A49="","",SUMIFS(VENTAS!$F$5:$F$504,VENTAS!$A$5:$A$504,$A49,VENTAS!$K$5:$K$504,"PayPhone")+SUMIFS(VENTAS!$F$5:$F$504,VENTAS!$A$5:$A$504,$A49,VENTAS!$K$5:$K$504,"Tarjeta"))</f>
        <v/>
      </c>
      <c r="F49" s="32">
        <f>IF($A49="","",SUMIFS(GASTOS!$E$5:$E$304,GASTOS!$A$5:$A$304,$A49,GASTOS!$G$5:$G$304,"Efectivo",GASTOS!$H$5:$H$304,"SI"))</f>
        <v/>
      </c>
      <c r="G49" s="31" t="n"/>
      <c r="H49" s="17">
        <f>IF($A49="","",$B49+$C49-$F49-N($G49))</f>
        <v/>
      </c>
      <c r="I49" s="31" t="n"/>
      <c r="J49" s="30">
        <f>IF($A49="","",IF($I49="","",$I49-$H49))</f>
        <v/>
      </c>
    </row>
    <row r="50">
      <c r="A50" s="26" t="n"/>
      <c r="B50" s="31" t="n"/>
      <c r="C50" s="32">
        <f>IF($A50="","",SUMIFS(VENTAS!$F$5:$F$504,VENTAS!$A$5:$A$504,$A50,VENTAS!$K$5:$K$504,"Efectivo"))</f>
        <v/>
      </c>
      <c r="D50" s="32">
        <f>IF($A50="","",SUMIFS(VENTAS!$F$5:$F$504,VENTAS!$A$5:$A$504,$A50,VENTAS!$K$5:$K$504,"Transferencia"))</f>
        <v/>
      </c>
      <c r="E50" s="32">
        <f>IF($A50="","",SUMIFS(VENTAS!$F$5:$F$504,VENTAS!$A$5:$A$504,$A50,VENTAS!$K$5:$K$504,"PayPhone")+SUMIFS(VENTAS!$F$5:$F$504,VENTAS!$A$5:$A$504,$A50,VENTAS!$K$5:$K$504,"Tarjeta"))</f>
        <v/>
      </c>
      <c r="F50" s="32">
        <f>IF($A50="","",SUMIFS(GASTOS!$E$5:$E$304,GASTOS!$A$5:$A$304,$A50,GASTOS!$G$5:$G$304,"Efectivo",GASTOS!$H$5:$H$304,"SI"))</f>
        <v/>
      </c>
      <c r="G50" s="31" t="n"/>
      <c r="H50" s="17">
        <f>IF($A50="","",$B50+$C50-$F50-N($G50))</f>
        <v/>
      </c>
      <c r="I50" s="31" t="n"/>
      <c r="J50" s="30">
        <f>IF($A50="","",IF($I50="","",$I50-$H50))</f>
        <v/>
      </c>
    </row>
    <row r="51">
      <c r="A51" s="26" t="n"/>
      <c r="B51" s="31" t="n"/>
      <c r="C51" s="32">
        <f>IF($A51="","",SUMIFS(VENTAS!$F$5:$F$504,VENTAS!$A$5:$A$504,$A51,VENTAS!$K$5:$K$504,"Efectivo"))</f>
        <v/>
      </c>
      <c r="D51" s="32">
        <f>IF($A51="","",SUMIFS(VENTAS!$F$5:$F$504,VENTAS!$A$5:$A$504,$A51,VENTAS!$K$5:$K$504,"Transferencia"))</f>
        <v/>
      </c>
      <c r="E51" s="32">
        <f>IF($A51="","",SUMIFS(VENTAS!$F$5:$F$504,VENTAS!$A$5:$A$504,$A51,VENTAS!$K$5:$K$504,"PayPhone")+SUMIFS(VENTAS!$F$5:$F$504,VENTAS!$A$5:$A$504,$A51,VENTAS!$K$5:$K$504,"Tarjeta"))</f>
        <v/>
      </c>
      <c r="F51" s="32">
        <f>IF($A51="","",SUMIFS(GASTOS!$E$5:$E$304,GASTOS!$A$5:$A$304,$A51,GASTOS!$G$5:$G$304,"Efectivo",GASTOS!$H$5:$H$304,"SI"))</f>
        <v/>
      </c>
      <c r="G51" s="31" t="n"/>
      <c r="H51" s="17">
        <f>IF($A51="","",$B51+$C51-$F51-N($G51))</f>
        <v/>
      </c>
      <c r="I51" s="31" t="n"/>
      <c r="J51" s="30">
        <f>IF($A51="","",IF($I51="","",$I51-$H51))</f>
        <v/>
      </c>
    </row>
    <row r="52">
      <c r="A52" s="26" t="n"/>
      <c r="B52" s="31" t="n"/>
      <c r="C52" s="32">
        <f>IF($A52="","",SUMIFS(VENTAS!$F$5:$F$504,VENTAS!$A$5:$A$504,$A52,VENTAS!$K$5:$K$504,"Efectivo"))</f>
        <v/>
      </c>
      <c r="D52" s="32">
        <f>IF($A52="","",SUMIFS(VENTAS!$F$5:$F$504,VENTAS!$A$5:$A$504,$A52,VENTAS!$K$5:$K$504,"Transferencia"))</f>
        <v/>
      </c>
      <c r="E52" s="32">
        <f>IF($A52="","",SUMIFS(VENTAS!$F$5:$F$504,VENTAS!$A$5:$A$504,$A52,VENTAS!$K$5:$K$504,"PayPhone")+SUMIFS(VENTAS!$F$5:$F$504,VENTAS!$A$5:$A$504,$A52,VENTAS!$K$5:$K$504,"Tarjeta"))</f>
        <v/>
      </c>
      <c r="F52" s="32">
        <f>IF($A52="","",SUMIFS(GASTOS!$E$5:$E$304,GASTOS!$A$5:$A$304,$A52,GASTOS!$G$5:$G$304,"Efectivo",GASTOS!$H$5:$H$304,"SI"))</f>
        <v/>
      </c>
      <c r="G52" s="31" t="n"/>
      <c r="H52" s="17">
        <f>IF($A52="","",$B52+$C52-$F52-N($G52))</f>
        <v/>
      </c>
      <c r="I52" s="31" t="n"/>
      <c r="J52" s="30">
        <f>IF($A52="","",IF($I52="","",$I52-$H52))</f>
        <v/>
      </c>
    </row>
    <row r="53">
      <c r="A53" s="26" t="n"/>
      <c r="B53" s="31" t="n"/>
      <c r="C53" s="32">
        <f>IF($A53="","",SUMIFS(VENTAS!$F$5:$F$504,VENTAS!$A$5:$A$504,$A53,VENTAS!$K$5:$K$504,"Efectivo"))</f>
        <v/>
      </c>
      <c r="D53" s="32">
        <f>IF($A53="","",SUMIFS(VENTAS!$F$5:$F$504,VENTAS!$A$5:$A$504,$A53,VENTAS!$K$5:$K$504,"Transferencia"))</f>
        <v/>
      </c>
      <c r="E53" s="32">
        <f>IF($A53="","",SUMIFS(VENTAS!$F$5:$F$504,VENTAS!$A$5:$A$504,$A53,VENTAS!$K$5:$K$504,"PayPhone")+SUMIFS(VENTAS!$F$5:$F$504,VENTAS!$A$5:$A$504,$A53,VENTAS!$K$5:$K$504,"Tarjeta"))</f>
        <v/>
      </c>
      <c r="F53" s="32">
        <f>IF($A53="","",SUMIFS(GASTOS!$E$5:$E$304,GASTOS!$A$5:$A$304,$A53,GASTOS!$G$5:$G$304,"Efectivo",GASTOS!$H$5:$H$304,"SI"))</f>
        <v/>
      </c>
      <c r="G53" s="31" t="n"/>
      <c r="H53" s="17">
        <f>IF($A53="","",$B53+$C53-$F53-N($G53))</f>
        <v/>
      </c>
      <c r="I53" s="31" t="n"/>
      <c r="J53" s="30">
        <f>IF($A53="","",IF($I53="","",$I53-$H53))</f>
        <v/>
      </c>
    </row>
    <row r="54">
      <c r="A54" s="26" t="n"/>
      <c r="B54" s="31" t="n"/>
      <c r="C54" s="32">
        <f>IF($A54="","",SUMIFS(VENTAS!$F$5:$F$504,VENTAS!$A$5:$A$504,$A54,VENTAS!$K$5:$K$504,"Efectivo"))</f>
        <v/>
      </c>
      <c r="D54" s="32">
        <f>IF($A54="","",SUMIFS(VENTAS!$F$5:$F$504,VENTAS!$A$5:$A$504,$A54,VENTAS!$K$5:$K$504,"Transferencia"))</f>
        <v/>
      </c>
      <c r="E54" s="32">
        <f>IF($A54="","",SUMIFS(VENTAS!$F$5:$F$504,VENTAS!$A$5:$A$504,$A54,VENTAS!$K$5:$K$504,"PayPhone")+SUMIFS(VENTAS!$F$5:$F$504,VENTAS!$A$5:$A$504,$A54,VENTAS!$K$5:$K$504,"Tarjeta"))</f>
        <v/>
      </c>
      <c r="F54" s="32">
        <f>IF($A54="","",SUMIFS(GASTOS!$E$5:$E$304,GASTOS!$A$5:$A$304,$A54,GASTOS!$G$5:$G$304,"Efectivo",GASTOS!$H$5:$H$304,"SI"))</f>
        <v/>
      </c>
      <c r="G54" s="31" t="n"/>
      <c r="H54" s="17">
        <f>IF($A54="","",$B54+$C54-$F54-N($G54))</f>
        <v/>
      </c>
      <c r="I54" s="31" t="n"/>
      <c r="J54" s="30">
        <f>IF($A54="","",IF($I54="","",$I54-$H54))</f>
        <v/>
      </c>
    </row>
    <row r="55">
      <c r="A55" s="26" t="n"/>
      <c r="B55" s="31" t="n"/>
      <c r="C55" s="32">
        <f>IF($A55="","",SUMIFS(VENTAS!$F$5:$F$504,VENTAS!$A$5:$A$504,$A55,VENTAS!$K$5:$K$504,"Efectivo"))</f>
        <v/>
      </c>
      <c r="D55" s="32">
        <f>IF($A55="","",SUMIFS(VENTAS!$F$5:$F$504,VENTAS!$A$5:$A$504,$A55,VENTAS!$K$5:$K$504,"Transferencia"))</f>
        <v/>
      </c>
      <c r="E55" s="32">
        <f>IF($A55="","",SUMIFS(VENTAS!$F$5:$F$504,VENTAS!$A$5:$A$504,$A55,VENTAS!$K$5:$K$504,"PayPhone")+SUMIFS(VENTAS!$F$5:$F$504,VENTAS!$A$5:$A$504,$A55,VENTAS!$K$5:$K$504,"Tarjeta"))</f>
        <v/>
      </c>
      <c r="F55" s="32">
        <f>IF($A55="","",SUMIFS(GASTOS!$E$5:$E$304,GASTOS!$A$5:$A$304,$A55,GASTOS!$G$5:$G$304,"Efectivo",GASTOS!$H$5:$H$304,"SI"))</f>
        <v/>
      </c>
      <c r="G55" s="31" t="n"/>
      <c r="H55" s="17">
        <f>IF($A55="","",$B55+$C55-$F55-N($G55))</f>
        <v/>
      </c>
      <c r="I55" s="31" t="n"/>
      <c r="J55" s="30">
        <f>IF($A55="","",IF($I55="","",$I55-$H55))</f>
        <v/>
      </c>
    </row>
    <row r="56">
      <c r="A56" s="26" t="n"/>
      <c r="B56" s="31" t="n"/>
      <c r="C56" s="32">
        <f>IF($A56="","",SUMIFS(VENTAS!$F$5:$F$504,VENTAS!$A$5:$A$504,$A56,VENTAS!$K$5:$K$504,"Efectivo"))</f>
        <v/>
      </c>
      <c r="D56" s="32">
        <f>IF($A56="","",SUMIFS(VENTAS!$F$5:$F$504,VENTAS!$A$5:$A$504,$A56,VENTAS!$K$5:$K$504,"Transferencia"))</f>
        <v/>
      </c>
      <c r="E56" s="32">
        <f>IF($A56="","",SUMIFS(VENTAS!$F$5:$F$504,VENTAS!$A$5:$A$504,$A56,VENTAS!$K$5:$K$504,"PayPhone")+SUMIFS(VENTAS!$F$5:$F$504,VENTAS!$A$5:$A$504,$A56,VENTAS!$K$5:$K$504,"Tarjeta"))</f>
        <v/>
      </c>
      <c r="F56" s="32">
        <f>IF($A56="","",SUMIFS(GASTOS!$E$5:$E$304,GASTOS!$A$5:$A$304,$A56,GASTOS!$G$5:$G$304,"Efectivo",GASTOS!$H$5:$H$304,"SI"))</f>
        <v/>
      </c>
      <c r="G56" s="31" t="n"/>
      <c r="H56" s="17">
        <f>IF($A56="","",$B56+$C56-$F56-N($G56))</f>
        <v/>
      </c>
      <c r="I56" s="31" t="n"/>
      <c r="J56" s="30">
        <f>IF($A56="","",IF($I56="","",$I56-$H56))</f>
        <v/>
      </c>
    </row>
    <row r="57">
      <c r="A57" s="26" t="n"/>
      <c r="B57" s="31" t="n"/>
      <c r="C57" s="32">
        <f>IF($A57="","",SUMIFS(VENTAS!$F$5:$F$504,VENTAS!$A$5:$A$504,$A57,VENTAS!$K$5:$K$504,"Efectivo"))</f>
        <v/>
      </c>
      <c r="D57" s="32">
        <f>IF($A57="","",SUMIFS(VENTAS!$F$5:$F$504,VENTAS!$A$5:$A$504,$A57,VENTAS!$K$5:$K$504,"Transferencia"))</f>
        <v/>
      </c>
      <c r="E57" s="32">
        <f>IF($A57="","",SUMIFS(VENTAS!$F$5:$F$504,VENTAS!$A$5:$A$504,$A57,VENTAS!$K$5:$K$504,"PayPhone")+SUMIFS(VENTAS!$F$5:$F$504,VENTAS!$A$5:$A$504,$A57,VENTAS!$K$5:$K$504,"Tarjeta"))</f>
        <v/>
      </c>
      <c r="F57" s="32">
        <f>IF($A57="","",SUMIFS(GASTOS!$E$5:$E$304,GASTOS!$A$5:$A$304,$A57,GASTOS!$G$5:$G$304,"Efectivo",GASTOS!$H$5:$H$304,"SI"))</f>
        <v/>
      </c>
      <c r="G57" s="31" t="n"/>
      <c r="H57" s="17">
        <f>IF($A57="","",$B57+$C57-$F57-N($G57))</f>
        <v/>
      </c>
      <c r="I57" s="31" t="n"/>
      <c r="J57" s="30">
        <f>IF($A57="","",IF($I57="","",$I57-$H57))</f>
        <v/>
      </c>
    </row>
    <row r="58">
      <c r="A58" s="26" t="n"/>
      <c r="B58" s="31" t="n"/>
      <c r="C58" s="32">
        <f>IF($A58="","",SUMIFS(VENTAS!$F$5:$F$504,VENTAS!$A$5:$A$504,$A58,VENTAS!$K$5:$K$504,"Efectivo"))</f>
        <v/>
      </c>
      <c r="D58" s="32">
        <f>IF($A58="","",SUMIFS(VENTAS!$F$5:$F$504,VENTAS!$A$5:$A$504,$A58,VENTAS!$K$5:$K$504,"Transferencia"))</f>
        <v/>
      </c>
      <c r="E58" s="32">
        <f>IF($A58="","",SUMIFS(VENTAS!$F$5:$F$504,VENTAS!$A$5:$A$504,$A58,VENTAS!$K$5:$K$504,"PayPhone")+SUMIFS(VENTAS!$F$5:$F$504,VENTAS!$A$5:$A$504,$A58,VENTAS!$K$5:$K$504,"Tarjeta"))</f>
        <v/>
      </c>
      <c r="F58" s="32">
        <f>IF($A58="","",SUMIFS(GASTOS!$E$5:$E$304,GASTOS!$A$5:$A$304,$A58,GASTOS!$G$5:$G$304,"Efectivo",GASTOS!$H$5:$H$304,"SI"))</f>
        <v/>
      </c>
      <c r="G58" s="31" t="n"/>
      <c r="H58" s="17">
        <f>IF($A58="","",$B58+$C58-$F58-N($G58))</f>
        <v/>
      </c>
      <c r="I58" s="31" t="n"/>
      <c r="J58" s="30">
        <f>IF($A58="","",IF($I58="","",$I58-$H58))</f>
        <v/>
      </c>
    </row>
    <row r="59">
      <c r="A59" s="26" t="n"/>
      <c r="B59" s="31" t="n"/>
      <c r="C59" s="32">
        <f>IF($A59="","",SUMIFS(VENTAS!$F$5:$F$504,VENTAS!$A$5:$A$504,$A59,VENTAS!$K$5:$K$504,"Efectivo"))</f>
        <v/>
      </c>
      <c r="D59" s="32">
        <f>IF($A59="","",SUMIFS(VENTAS!$F$5:$F$504,VENTAS!$A$5:$A$504,$A59,VENTAS!$K$5:$K$504,"Transferencia"))</f>
        <v/>
      </c>
      <c r="E59" s="32">
        <f>IF($A59="","",SUMIFS(VENTAS!$F$5:$F$504,VENTAS!$A$5:$A$504,$A59,VENTAS!$K$5:$K$504,"PayPhone")+SUMIFS(VENTAS!$F$5:$F$504,VENTAS!$A$5:$A$504,$A59,VENTAS!$K$5:$K$504,"Tarjeta"))</f>
        <v/>
      </c>
      <c r="F59" s="32">
        <f>IF($A59="","",SUMIFS(GASTOS!$E$5:$E$304,GASTOS!$A$5:$A$304,$A59,GASTOS!$G$5:$G$304,"Efectivo",GASTOS!$H$5:$H$304,"SI"))</f>
        <v/>
      </c>
      <c r="G59" s="31" t="n"/>
      <c r="H59" s="17">
        <f>IF($A59="","",$B59+$C59-$F59-N($G59))</f>
        <v/>
      </c>
      <c r="I59" s="31" t="n"/>
      <c r="J59" s="30">
        <f>IF($A59="","",IF($I59="","",$I59-$H59))</f>
        <v/>
      </c>
    </row>
    <row r="60">
      <c r="A60" s="26" t="n"/>
      <c r="B60" s="31" t="n"/>
      <c r="C60" s="32">
        <f>IF($A60="","",SUMIFS(VENTAS!$F$5:$F$504,VENTAS!$A$5:$A$504,$A60,VENTAS!$K$5:$K$504,"Efectivo"))</f>
        <v/>
      </c>
      <c r="D60" s="32">
        <f>IF($A60="","",SUMIFS(VENTAS!$F$5:$F$504,VENTAS!$A$5:$A$504,$A60,VENTAS!$K$5:$K$504,"Transferencia"))</f>
        <v/>
      </c>
      <c r="E60" s="32">
        <f>IF($A60="","",SUMIFS(VENTAS!$F$5:$F$504,VENTAS!$A$5:$A$504,$A60,VENTAS!$K$5:$K$504,"PayPhone")+SUMIFS(VENTAS!$F$5:$F$504,VENTAS!$A$5:$A$504,$A60,VENTAS!$K$5:$K$504,"Tarjeta"))</f>
        <v/>
      </c>
      <c r="F60" s="32">
        <f>IF($A60="","",SUMIFS(GASTOS!$E$5:$E$304,GASTOS!$A$5:$A$304,$A60,GASTOS!$G$5:$G$304,"Efectivo",GASTOS!$H$5:$H$304,"SI"))</f>
        <v/>
      </c>
      <c r="G60" s="31" t="n"/>
      <c r="H60" s="17">
        <f>IF($A60="","",$B60+$C60-$F60-N($G60))</f>
        <v/>
      </c>
      <c r="I60" s="31" t="n"/>
      <c r="J60" s="30">
        <f>IF($A60="","",IF($I60="","",$I60-$H60))</f>
        <v/>
      </c>
    </row>
    <row r="61">
      <c r="A61" s="26" t="n"/>
      <c r="B61" s="31" t="n"/>
      <c r="C61" s="32">
        <f>IF($A61="","",SUMIFS(VENTAS!$F$5:$F$504,VENTAS!$A$5:$A$504,$A61,VENTAS!$K$5:$K$504,"Efectivo"))</f>
        <v/>
      </c>
      <c r="D61" s="32">
        <f>IF($A61="","",SUMIFS(VENTAS!$F$5:$F$504,VENTAS!$A$5:$A$504,$A61,VENTAS!$K$5:$K$504,"Transferencia"))</f>
        <v/>
      </c>
      <c r="E61" s="32">
        <f>IF($A61="","",SUMIFS(VENTAS!$F$5:$F$504,VENTAS!$A$5:$A$504,$A61,VENTAS!$K$5:$K$504,"PayPhone")+SUMIFS(VENTAS!$F$5:$F$504,VENTAS!$A$5:$A$504,$A61,VENTAS!$K$5:$K$504,"Tarjeta"))</f>
        <v/>
      </c>
      <c r="F61" s="32">
        <f>IF($A61="","",SUMIFS(GASTOS!$E$5:$E$304,GASTOS!$A$5:$A$304,$A61,GASTOS!$G$5:$G$304,"Efectivo",GASTOS!$H$5:$H$304,"SI"))</f>
        <v/>
      </c>
      <c r="G61" s="31" t="n"/>
      <c r="H61" s="17">
        <f>IF($A61="","",$B61+$C61-$F61-N($G61))</f>
        <v/>
      </c>
      <c r="I61" s="31" t="n"/>
      <c r="J61" s="30">
        <f>IF($A61="","",IF($I61="","",$I61-$H61))</f>
        <v/>
      </c>
    </row>
    <row r="62">
      <c r="A62" s="26" t="n"/>
      <c r="B62" s="31" t="n"/>
      <c r="C62" s="32">
        <f>IF($A62="","",SUMIFS(VENTAS!$F$5:$F$504,VENTAS!$A$5:$A$504,$A62,VENTAS!$K$5:$K$504,"Efectivo"))</f>
        <v/>
      </c>
      <c r="D62" s="32">
        <f>IF($A62="","",SUMIFS(VENTAS!$F$5:$F$504,VENTAS!$A$5:$A$504,$A62,VENTAS!$K$5:$K$504,"Transferencia"))</f>
        <v/>
      </c>
      <c r="E62" s="32">
        <f>IF($A62="","",SUMIFS(VENTAS!$F$5:$F$504,VENTAS!$A$5:$A$504,$A62,VENTAS!$K$5:$K$504,"PayPhone")+SUMIFS(VENTAS!$F$5:$F$504,VENTAS!$A$5:$A$504,$A62,VENTAS!$K$5:$K$504,"Tarjeta"))</f>
        <v/>
      </c>
      <c r="F62" s="32">
        <f>IF($A62="","",SUMIFS(GASTOS!$E$5:$E$304,GASTOS!$A$5:$A$304,$A62,GASTOS!$G$5:$G$304,"Efectivo",GASTOS!$H$5:$H$304,"SI"))</f>
        <v/>
      </c>
      <c r="G62" s="31" t="n"/>
      <c r="H62" s="17">
        <f>IF($A62="","",$B62+$C62-$F62-N($G62))</f>
        <v/>
      </c>
      <c r="I62" s="31" t="n"/>
      <c r="J62" s="30">
        <f>IF($A62="","",IF($I62="","",$I62-$H62))</f>
        <v/>
      </c>
    </row>
    <row r="63">
      <c r="A63" s="26" t="n"/>
      <c r="B63" s="31" t="n"/>
      <c r="C63" s="32">
        <f>IF($A63="","",SUMIFS(VENTAS!$F$5:$F$504,VENTAS!$A$5:$A$504,$A63,VENTAS!$K$5:$K$504,"Efectivo"))</f>
        <v/>
      </c>
      <c r="D63" s="32">
        <f>IF($A63="","",SUMIFS(VENTAS!$F$5:$F$504,VENTAS!$A$5:$A$504,$A63,VENTAS!$K$5:$K$504,"Transferencia"))</f>
        <v/>
      </c>
      <c r="E63" s="32">
        <f>IF($A63="","",SUMIFS(VENTAS!$F$5:$F$504,VENTAS!$A$5:$A$504,$A63,VENTAS!$K$5:$K$504,"PayPhone")+SUMIFS(VENTAS!$F$5:$F$504,VENTAS!$A$5:$A$504,$A63,VENTAS!$K$5:$K$504,"Tarjeta"))</f>
        <v/>
      </c>
      <c r="F63" s="32">
        <f>IF($A63="","",SUMIFS(GASTOS!$E$5:$E$304,GASTOS!$A$5:$A$304,$A63,GASTOS!$G$5:$G$304,"Efectivo",GASTOS!$H$5:$H$304,"SI"))</f>
        <v/>
      </c>
      <c r="G63" s="31" t="n"/>
      <c r="H63" s="17">
        <f>IF($A63="","",$B63+$C63-$F63-N($G63))</f>
        <v/>
      </c>
      <c r="I63" s="31" t="n"/>
      <c r="J63" s="30">
        <f>IF($A63="","",IF($I63="","",$I63-$H63))</f>
        <v/>
      </c>
    </row>
    <row r="64">
      <c r="A64" s="26" t="n"/>
      <c r="B64" s="31" t="n"/>
      <c r="C64" s="32">
        <f>IF($A64="","",SUMIFS(VENTAS!$F$5:$F$504,VENTAS!$A$5:$A$504,$A64,VENTAS!$K$5:$K$504,"Efectivo"))</f>
        <v/>
      </c>
      <c r="D64" s="32">
        <f>IF($A64="","",SUMIFS(VENTAS!$F$5:$F$504,VENTAS!$A$5:$A$504,$A64,VENTAS!$K$5:$K$504,"Transferencia"))</f>
        <v/>
      </c>
      <c r="E64" s="32">
        <f>IF($A64="","",SUMIFS(VENTAS!$F$5:$F$504,VENTAS!$A$5:$A$504,$A64,VENTAS!$K$5:$K$504,"PayPhone")+SUMIFS(VENTAS!$F$5:$F$504,VENTAS!$A$5:$A$504,$A64,VENTAS!$K$5:$K$504,"Tarjeta"))</f>
        <v/>
      </c>
      <c r="F64" s="32">
        <f>IF($A64="","",SUMIFS(GASTOS!$E$5:$E$304,GASTOS!$A$5:$A$304,$A64,GASTOS!$G$5:$G$304,"Efectivo",GASTOS!$H$5:$H$304,"SI"))</f>
        <v/>
      </c>
      <c r="G64" s="31" t="n"/>
      <c r="H64" s="17">
        <f>IF($A64="","",$B64+$C64-$F64-N($G64))</f>
        <v/>
      </c>
      <c r="I64" s="31" t="n"/>
      <c r="J64" s="30">
        <f>IF($A64="","",IF($I64="","",$I64-$H64))</f>
        <v/>
      </c>
    </row>
    <row r="65">
      <c r="A65" s="26" t="n"/>
      <c r="B65" s="31" t="n"/>
      <c r="C65" s="32">
        <f>IF($A65="","",SUMIFS(VENTAS!$F$5:$F$504,VENTAS!$A$5:$A$504,$A65,VENTAS!$K$5:$K$504,"Efectivo"))</f>
        <v/>
      </c>
      <c r="D65" s="32">
        <f>IF($A65="","",SUMIFS(VENTAS!$F$5:$F$504,VENTAS!$A$5:$A$504,$A65,VENTAS!$K$5:$K$504,"Transferencia"))</f>
        <v/>
      </c>
      <c r="E65" s="32">
        <f>IF($A65="","",SUMIFS(VENTAS!$F$5:$F$504,VENTAS!$A$5:$A$504,$A65,VENTAS!$K$5:$K$504,"PayPhone")+SUMIFS(VENTAS!$F$5:$F$504,VENTAS!$A$5:$A$504,$A65,VENTAS!$K$5:$K$504,"Tarjeta"))</f>
        <v/>
      </c>
      <c r="F65" s="32">
        <f>IF($A65="","",SUMIFS(GASTOS!$E$5:$E$304,GASTOS!$A$5:$A$304,$A65,GASTOS!$G$5:$G$304,"Efectivo",GASTOS!$H$5:$H$304,"SI"))</f>
        <v/>
      </c>
      <c r="G65" s="31" t="n"/>
      <c r="H65" s="17">
        <f>IF($A65="","",$B65+$C65-$F65-N($G65))</f>
        <v/>
      </c>
      <c r="I65" s="31" t="n"/>
      <c r="J65" s="30">
        <f>IF($A65="","",IF($I65="","",$I65-$H65))</f>
        <v/>
      </c>
    </row>
    <row r="66">
      <c r="A66" s="26" t="n"/>
      <c r="B66" s="31" t="n"/>
      <c r="C66" s="32">
        <f>IF($A66="","",SUMIFS(VENTAS!$F$5:$F$504,VENTAS!$A$5:$A$504,$A66,VENTAS!$K$5:$K$504,"Efectivo"))</f>
        <v/>
      </c>
      <c r="D66" s="32">
        <f>IF($A66="","",SUMIFS(VENTAS!$F$5:$F$504,VENTAS!$A$5:$A$504,$A66,VENTAS!$K$5:$K$504,"Transferencia"))</f>
        <v/>
      </c>
      <c r="E66" s="32">
        <f>IF($A66="","",SUMIFS(VENTAS!$F$5:$F$504,VENTAS!$A$5:$A$504,$A66,VENTAS!$K$5:$K$504,"PayPhone")+SUMIFS(VENTAS!$F$5:$F$504,VENTAS!$A$5:$A$504,$A66,VENTAS!$K$5:$K$504,"Tarjeta"))</f>
        <v/>
      </c>
      <c r="F66" s="32">
        <f>IF($A66="","",SUMIFS(GASTOS!$E$5:$E$304,GASTOS!$A$5:$A$304,$A66,GASTOS!$G$5:$G$304,"Efectivo",GASTOS!$H$5:$H$304,"SI"))</f>
        <v/>
      </c>
      <c r="G66" s="31" t="n"/>
      <c r="H66" s="17">
        <f>IF($A66="","",$B66+$C66-$F66-N($G66))</f>
        <v/>
      </c>
      <c r="I66" s="31" t="n"/>
      <c r="J66" s="30">
        <f>IF($A66="","",IF($I66="","",$I66-$H66))</f>
        <v/>
      </c>
    </row>
    <row r="67">
      <c r="A67" s="26" t="n"/>
      <c r="B67" s="31" t="n"/>
      <c r="C67" s="32">
        <f>IF($A67="","",SUMIFS(VENTAS!$F$5:$F$504,VENTAS!$A$5:$A$504,$A67,VENTAS!$K$5:$K$504,"Efectivo"))</f>
        <v/>
      </c>
      <c r="D67" s="32">
        <f>IF($A67="","",SUMIFS(VENTAS!$F$5:$F$504,VENTAS!$A$5:$A$504,$A67,VENTAS!$K$5:$K$504,"Transferencia"))</f>
        <v/>
      </c>
      <c r="E67" s="32">
        <f>IF($A67="","",SUMIFS(VENTAS!$F$5:$F$504,VENTAS!$A$5:$A$504,$A67,VENTAS!$K$5:$K$504,"PayPhone")+SUMIFS(VENTAS!$F$5:$F$504,VENTAS!$A$5:$A$504,$A67,VENTAS!$K$5:$K$504,"Tarjeta"))</f>
        <v/>
      </c>
      <c r="F67" s="32">
        <f>IF($A67="","",SUMIFS(GASTOS!$E$5:$E$304,GASTOS!$A$5:$A$304,$A67,GASTOS!$G$5:$G$304,"Efectivo",GASTOS!$H$5:$H$304,"SI"))</f>
        <v/>
      </c>
      <c r="G67" s="31" t="n"/>
      <c r="H67" s="17">
        <f>IF($A67="","",$B67+$C67-$F67-N($G67))</f>
        <v/>
      </c>
      <c r="I67" s="31" t="n"/>
      <c r="J67" s="30">
        <f>IF($A67="","",IF($I67="","",$I67-$H67))</f>
        <v/>
      </c>
    </row>
    <row r="68">
      <c r="A68" s="26" t="n"/>
      <c r="B68" s="31" t="n"/>
      <c r="C68" s="32">
        <f>IF($A68="","",SUMIFS(VENTAS!$F$5:$F$504,VENTAS!$A$5:$A$504,$A68,VENTAS!$K$5:$K$504,"Efectivo"))</f>
        <v/>
      </c>
      <c r="D68" s="32">
        <f>IF($A68="","",SUMIFS(VENTAS!$F$5:$F$504,VENTAS!$A$5:$A$504,$A68,VENTAS!$K$5:$K$504,"Transferencia"))</f>
        <v/>
      </c>
      <c r="E68" s="32">
        <f>IF($A68="","",SUMIFS(VENTAS!$F$5:$F$504,VENTAS!$A$5:$A$504,$A68,VENTAS!$K$5:$K$504,"PayPhone")+SUMIFS(VENTAS!$F$5:$F$504,VENTAS!$A$5:$A$504,$A68,VENTAS!$K$5:$K$504,"Tarjeta"))</f>
        <v/>
      </c>
      <c r="F68" s="32">
        <f>IF($A68="","",SUMIFS(GASTOS!$E$5:$E$304,GASTOS!$A$5:$A$304,$A68,GASTOS!$G$5:$G$304,"Efectivo",GASTOS!$H$5:$H$304,"SI"))</f>
        <v/>
      </c>
      <c r="G68" s="31" t="n"/>
      <c r="H68" s="17">
        <f>IF($A68="","",$B68+$C68-$F68-N($G68))</f>
        <v/>
      </c>
      <c r="I68" s="31" t="n"/>
      <c r="J68" s="30">
        <f>IF($A68="","",IF($I68="","",$I68-$H68))</f>
        <v/>
      </c>
    </row>
    <row r="69">
      <c r="A69" s="26" t="n"/>
      <c r="B69" s="31" t="n"/>
      <c r="C69" s="32">
        <f>IF($A69="","",SUMIFS(VENTAS!$F$5:$F$504,VENTAS!$A$5:$A$504,$A69,VENTAS!$K$5:$K$504,"Efectivo"))</f>
        <v/>
      </c>
      <c r="D69" s="32">
        <f>IF($A69="","",SUMIFS(VENTAS!$F$5:$F$504,VENTAS!$A$5:$A$504,$A69,VENTAS!$K$5:$K$504,"Transferencia"))</f>
        <v/>
      </c>
      <c r="E69" s="32">
        <f>IF($A69="","",SUMIFS(VENTAS!$F$5:$F$504,VENTAS!$A$5:$A$504,$A69,VENTAS!$K$5:$K$504,"PayPhone")+SUMIFS(VENTAS!$F$5:$F$504,VENTAS!$A$5:$A$504,$A69,VENTAS!$K$5:$K$504,"Tarjeta"))</f>
        <v/>
      </c>
      <c r="F69" s="32">
        <f>IF($A69="","",SUMIFS(GASTOS!$E$5:$E$304,GASTOS!$A$5:$A$304,$A69,GASTOS!$G$5:$G$304,"Efectivo",GASTOS!$H$5:$H$304,"SI"))</f>
        <v/>
      </c>
      <c r="G69" s="31" t="n"/>
      <c r="H69" s="17">
        <f>IF($A69="","",$B69+$C69-$F69-N($G69))</f>
        <v/>
      </c>
      <c r="I69" s="31" t="n"/>
      <c r="J69" s="30">
        <f>IF($A69="","",IF($I69="","",$I69-$H69))</f>
        <v/>
      </c>
    </row>
    <row r="70">
      <c r="A70" s="26" t="n"/>
      <c r="B70" s="31" t="n"/>
      <c r="C70" s="32">
        <f>IF($A70="","",SUMIFS(VENTAS!$F$5:$F$504,VENTAS!$A$5:$A$504,$A70,VENTAS!$K$5:$K$504,"Efectivo"))</f>
        <v/>
      </c>
      <c r="D70" s="32">
        <f>IF($A70="","",SUMIFS(VENTAS!$F$5:$F$504,VENTAS!$A$5:$A$504,$A70,VENTAS!$K$5:$K$504,"Transferencia"))</f>
        <v/>
      </c>
      <c r="E70" s="32">
        <f>IF($A70="","",SUMIFS(VENTAS!$F$5:$F$504,VENTAS!$A$5:$A$504,$A70,VENTAS!$K$5:$K$504,"PayPhone")+SUMIFS(VENTAS!$F$5:$F$504,VENTAS!$A$5:$A$504,$A70,VENTAS!$K$5:$K$504,"Tarjeta"))</f>
        <v/>
      </c>
      <c r="F70" s="32">
        <f>IF($A70="","",SUMIFS(GASTOS!$E$5:$E$304,GASTOS!$A$5:$A$304,$A70,GASTOS!$G$5:$G$304,"Efectivo",GASTOS!$H$5:$H$304,"SI"))</f>
        <v/>
      </c>
      <c r="G70" s="31" t="n"/>
      <c r="H70" s="17">
        <f>IF($A70="","",$B70+$C70-$F70-N($G70))</f>
        <v/>
      </c>
      <c r="I70" s="31" t="n"/>
      <c r="J70" s="30">
        <f>IF($A70="","",IF($I70="","",$I70-$H70))</f>
        <v/>
      </c>
    </row>
    <row r="71">
      <c r="A71" s="26" t="n"/>
      <c r="B71" s="31" t="n"/>
      <c r="C71" s="32">
        <f>IF($A71="","",SUMIFS(VENTAS!$F$5:$F$504,VENTAS!$A$5:$A$504,$A71,VENTAS!$K$5:$K$504,"Efectivo"))</f>
        <v/>
      </c>
      <c r="D71" s="32">
        <f>IF($A71="","",SUMIFS(VENTAS!$F$5:$F$504,VENTAS!$A$5:$A$504,$A71,VENTAS!$K$5:$K$504,"Transferencia"))</f>
        <v/>
      </c>
      <c r="E71" s="32">
        <f>IF($A71="","",SUMIFS(VENTAS!$F$5:$F$504,VENTAS!$A$5:$A$504,$A71,VENTAS!$K$5:$K$504,"PayPhone")+SUMIFS(VENTAS!$F$5:$F$504,VENTAS!$A$5:$A$504,$A71,VENTAS!$K$5:$K$504,"Tarjeta"))</f>
        <v/>
      </c>
      <c r="F71" s="32">
        <f>IF($A71="","",SUMIFS(GASTOS!$E$5:$E$304,GASTOS!$A$5:$A$304,$A71,GASTOS!$G$5:$G$304,"Efectivo",GASTOS!$H$5:$H$304,"SI"))</f>
        <v/>
      </c>
      <c r="G71" s="31" t="n"/>
      <c r="H71" s="17">
        <f>IF($A71="","",$B71+$C71-$F71-N($G71))</f>
        <v/>
      </c>
      <c r="I71" s="31" t="n"/>
      <c r="J71" s="30">
        <f>IF($A71="","",IF($I71="","",$I71-$H71))</f>
        <v/>
      </c>
    </row>
    <row r="72">
      <c r="A72" s="26" t="n"/>
      <c r="B72" s="31" t="n"/>
      <c r="C72" s="32">
        <f>IF($A72="","",SUMIFS(VENTAS!$F$5:$F$504,VENTAS!$A$5:$A$504,$A72,VENTAS!$K$5:$K$504,"Efectivo"))</f>
        <v/>
      </c>
      <c r="D72" s="32">
        <f>IF($A72="","",SUMIFS(VENTAS!$F$5:$F$504,VENTAS!$A$5:$A$504,$A72,VENTAS!$K$5:$K$504,"Transferencia"))</f>
        <v/>
      </c>
      <c r="E72" s="32">
        <f>IF($A72="","",SUMIFS(VENTAS!$F$5:$F$504,VENTAS!$A$5:$A$504,$A72,VENTAS!$K$5:$K$504,"PayPhone")+SUMIFS(VENTAS!$F$5:$F$504,VENTAS!$A$5:$A$504,$A72,VENTAS!$K$5:$K$504,"Tarjeta"))</f>
        <v/>
      </c>
      <c r="F72" s="32">
        <f>IF($A72="","",SUMIFS(GASTOS!$E$5:$E$304,GASTOS!$A$5:$A$304,$A72,GASTOS!$G$5:$G$304,"Efectivo",GASTOS!$H$5:$H$304,"SI"))</f>
        <v/>
      </c>
      <c r="G72" s="31" t="n"/>
      <c r="H72" s="17">
        <f>IF($A72="","",$B72+$C72-$F72-N($G72))</f>
        <v/>
      </c>
      <c r="I72" s="31" t="n"/>
      <c r="J72" s="30">
        <f>IF($A72="","",IF($I72="","",$I72-$H72))</f>
        <v/>
      </c>
    </row>
    <row r="73">
      <c r="A73" s="26" t="n"/>
      <c r="B73" s="31" t="n"/>
      <c r="C73" s="32">
        <f>IF($A73="","",SUMIFS(VENTAS!$F$5:$F$504,VENTAS!$A$5:$A$504,$A73,VENTAS!$K$5:$K$504,"Efectivo"))</f>
        <v/>
      </c>
      <c r="D73" s="32">
        <f>IF($A73="","",SUMIFS(VENTAS!$F$5:$F$504,VENTAS!$A$5:$A$504,$A73,VENTAS!$K$5:$K$504,"Transferencia"))</f>
        <v/>
      </c>
      <c r="E73" s="32">
        <f>IF($A73="","",SUMIFS(VENTAS!$F$5:$F$504,VENTAS!$A$5:$A$504,$A73,VENTAS!$K$5:$K$504,"PayPhone")+SUMIFS(VENTAS!$F$5:$F$504,VENTAS!$A$5:$A$504,$A73,VENTAS!$K$5:$K$504,"Tarjeta"))</f>
        <v/>
      </c>
      <c r="F73" s="32">
        <f>IF($A73="","",SUMIFS(GASTOS!$E$5:$E$304,GASTOS!$A$5:$A$304,$A73,GASTOS!$G$5:$G$304,"Efectivo",GASTOS!$H$5:$H$304,"SI"))</f>
        <v/>
      </c>
      <c r="G73" s="31" t="n"/>
      <c r="H73" s="17">
        <f>IF($A73="","",$B73+$C73-$F73-N($G73))</f>
        <v/>
      </c>
      <c r="I73" s="31" t="n"/>
      <c r="J73" s="30">
        <f>IF($A73="","",IF($I73="","",$I73-$H73))</f>
        <v/>
      </c>
    </row>
    <row r="74">
      <c r="A74" s="26" t="n"/>
      <c r="B74" s="31" t="n"/>
      <c r="C74" s="32">
        <f>IF($A74="","",SUMIFS(VENTAS!$F$5:$F$504,VENTAS!$A$5:$A$504,$A74,VENTAS!$K$5:$K$504,"Efectivo"))</f>
        <v/>
      </c>
      <c r="D74" s="32">
        <f>IF($A74="","",SUMIFS(VENTAS!$F$5:$F$504,VENTAS!$A$5:$A$504,$A74,VENTAS!$K$5:$K$504,"Transferencia"))</f>
        <v/>
      </c>
      <c r="E74" s="32">
        <f>IF($A74="","",SUMIFS(VENTAS!$F$5:$F$504,VENTAS!$A$5:$A$504,$A74,VENTAS!$K$5:$K$504,"PayPhone")+SUMIFS(VENTAS!$F$5:$F$504,VENTAS!$A$5:$A$504,$A74,VENTAS!$K$5:$K$504,"Tarjeta"))</f>
        <v/>
      </c>
      <c r="F74" s="32">
        <f>IF($A74="","",SUMIFS(GASTOS!$E$5:$E$304,GASTOS!$A$5:$A$304,$A74,GASTOS!$G$5:$G$304,"Efectivo",GASTOS!$H$5:$H$304,"SI"))</f>
        <v/>
      </c>
      <c r="G74" s="31" t="n"/>
      <c r="H74" s="17">
        <f>IF($A74="","",$B74+$C74-$F74-N($G74))</f>
        <v/>
      </c>
      <c r="I74" s="31" t="n"/>
      <c r="J74" s="30">
        <f>IF($A74="","",IF($I74="","",$I74-$H74))</f>
        <v/>
      </c>
    </row>
    <row r="75">
      <c r="A75" s="26" t="n"/>
      <c r="B75" s="31" t="n"/>
      <c r="C75" s="32">
        <f>IF($A75="","",SUMIFS(VENTAS!$F$5:$F$504,VENTAS!$A$5:$A$504,$A75,VENTAS!$K$5:$K$504,"Efectivo"))</f>
        <v/>
      </c>
      <c r="D75" s="32">
        <f>IF($A75="","",SUMIFS(VENTAS!$F$5:$F$504,VENTAS!$A$5:$A$504,$A75,VENTAS!$K$5:$K$504,"Transferencia"))</f>
        <v/>
      </c>
      <c r="E75" s="32">
        <f>IF($A75="","",SUMIFS(VENTAS!$F$5:$F$504,VENTAS!$A$5:$A$504,$A75,VENTAS!$K$5:$K$504,"PayPhone")+SUMIFS(VENTAS!$F$5:$F$504,VENTAS!$A$5:$A$504,$A75,VENTAS!$K$5:$K$504,"Tarjeta"))</f>
        <v/>
      </c>
      <c r="F75" s="32">
        <f>IF($A75="","",SUMIFS(GASTOS!$E$5:$E$304,GASTOS!$A$5:$A$304,$A75,GASTOS!$G$5:$G$304,"Efectivo",GASTOS!$H$5:$H$304,"SI"))</f>
        <v/>
      </c>
      <c r="G75" s="31" t="n"/>
      <c r="H75" s="17">
        <f>IF($A75="","",$B75+$C75-$F75-N($G75))</f>
        <v/>
      </c>
      <c r="I75" s="31" t="n"/>
      <c r="J75" s="30">
        <f>IF($A75="","",IF($I75="","",$I75-$H75))</f>
        <v/>
      </c>
    </row>
    <row r="76">
      <c r="A76" s="26" t="n"/>
      <c r="B76" s="31" t="n"/>
      <c r="C76" s="32">
        <f>IF($A76="","",SUMIFS(VENTAS!$F$5:$F$504,VENTAS!$A$5:$A$504,$A76,VENTAS!$K$5:$K$504,"Efectivo"))</f>
        <v/>
      </c>
      <c r="D76" s="32">
        <f>IF($A76="","",SUMIFS(VENTAS!$F$5:$F$504,VENTAS!$A$5:$A$504,$A76,VENTAS!$K$5:$K$504,"Transferencia"))</f>
        <v/>
      </c>
      <c r="E76" s="32">
        <f>IF($A76="","",SUMIFS(VENTAS!$F$5:$F$504,VENTAS!$A$5:$A$504,$A76,VENTAS!$K$5:$K$504,"PayPhone")+SUMIFS(VENTAS!$F$5:$F$504,VENTAS!$A$5:$A$504,$A76,VENTAS!$K$5:$K$504,"Tarjeta"))</f>
        <v/>
      </c>
      <c r="F76" s="32">
        <f>IF($A76="","",SUMIFS(GASTOS!$E$5:$E$304,GASTOS!$A$5:$A$304,$A76,GASTOS!$G$5:$G$304,"Efectivo",GASTOS!$H$5:$H$304,"SI"))</f>
        <v/>
      </c>
      <c r="G76" s="31" t="n"/>
      <c r="H76" s="17">
        <f>IF($A76="","",$B76+$C76-$F76-N($G76))</f>
        <v/>
      </c>
      <c r="I76" s="31" t="n"/>
      <c r="J76" s="30">
        <f>IF($A76="","",IF($I76="","",$I76-$H76))</f>
        <v/>
      </c>
    </row>
    <row r="77">
      <c r="A77" s="26" t="n"/>
      <c r="B77" s="31" t="n"/>
      <c r="C77" s="32">
        <f>IF($A77="","",SUMIFS(VENTAS!$F$5:$F$504,VENTAS!$A$5:$A$504,$A77,VENTAS!$K$5:$K$504,"Efectivo"))</f>
        <v/>
      </c>
      <c r="D77" s="32">
        <f>IF($A77="","",SUMIFS(VENTAS!$F$5:$F$504,VENTAS!$A$5:$A$504,$A77,VENTAS!$K$5:$K$504,"Transferencia"))</f>
        <v/>
      </c>
      <c r="E77" s="32">
        <f>IF($A77="","",SUMIFS(VENTAS!$F$5:$F$504,VENTAS!$A$5:$A$504,$A77,VENTAS!$K$5:$K$504,"PayPhone")+SUMIFS(VENTAS!$F$5:$F$504,VENTAS!$A$5:$A$504,$A77,VENTAS!$K$5:$K$504,"Tarjeta"))</f>
        <v/>
      </c>
      <c r="F77" s="32">
        <f>IF($A77="","",SUMIFS(GASTOS!$E$5:$E$304,GASTOS!$A$5:$A$304,$A77,GASTOS!$G$5:$G$304,"Efectivo",GASTOS!$H$5:$H$304,"SI"))</f>
        <v/>
      </c>
      <c r="G77" s="31" t="n"/>
      <c r="H77" s="17">
        <f>IF($A77="","",$B77+$C77-$F77-N($G77))</f>
        <v/>
      </c>
      <c r="I77" s="31" t="n"/>
      <c r="J77" s="30">
        <f>IF($A77="","",IF($I77="","",$I77-$H77))</f>
        <v/>
      </c>
    </row>
    <row r="78">
      <c r="A78" s="26" t="n"/>
      <c r="B78" s="31" t="n"/>
      <c r="C78" s="32">
        <f>IF($A78="","",SUMIFS(VENTAS!$F$5:$F$504,VENTAS!$A$5:$A$504,$A78,VENTAS!$K$5:$K$504,"Efectivo"))</f>
        <v/>
      </c>
      <c r="D78" s="32">
        <f>IF($A78="","",SUMIFS(VENTAS!$F$5:$F$504,VENTAS!$A$5:$A$504,$A78,VENTAS!$K$5:$K$504,"Transferencia"))</f>
        <v/>
      </c>
      <c r="E78" s="32">
        <f>IF($A78="","",SUMIFS(VENTAS!$F$5:$F$504,VENTAS!$A$5:$A$504,$A78,VENTAS!$K$5:$K$504,"PayPhone")+SUMIFS(VENTAS!$F$5:$F$504,VENTAS!$A$5:$A$504,$A78,VENTAS!$K$5:$K$504,"Tarjeta"))</f>
        <v/>
      </c>
      <c r="F78" s="32">
        <f>IF($A78="","",SUMIFS(GASTOS!$E$5:$E$304,GASTOS!$A$5:$A$304,$A78,GASTOS!$G$5:$G$304,"Efectivo",GASTOS!$H$5:$H$304,"SI"))</f>
        <v/>
      </c>
      <c r="G78" s="31" t="n"/>
      <c r="H78" s="17">
        <f>IF($A78="","",$B78+$C78-$F78-N($G78))</f>
        <v/>
      </c>
      <c r="I78" s="31" t="n"/>
      <c r="J78" s="30">
        <f>IF($A78="","",IF($I78="","",$I78-$H78))</f>
        <v/>
      </c>
    </row>
    <row r="79">
      <c r="A79" s="26" t="n"/>
      <c r="B79" s="31" t="n"/>
      <c r="C79" s="32">
        <f>IF($A79="","",SUMIFS(VENTAS!$F$5:$F$504,VENTAS!$A$5:$A$504,$A79,VENTAS!$K$5:$K$504,"Efectivo"))</f>
        <v/>
      </c>
      <c r="D79" s="32">
        <f>IF($A79="","",SUMIFS(VENTAS!$F$5:$F$504,VENTAS!$A$5:$A$504,$A79,VENTAS!$K$5:$K$504,"Transferencia"))</f>
        <v/>
      </c>
      <c r="E79" s="32">
        <f>IF($A79="","",SUMIFS(VENTAS!$F$5:$F$504,VENTAS!$A$5:$A$504,$A79,VENTAS!$K$5:$K$504,"PayPhone")+SUMIFS(VENTAS!$F$5:$F$504,VENTAS!$A$5:$A$504,$A79,VENTAS!$K$5:$K$504,"Tarjeta"))</f>
        <v/>
      </c>
      <c r="F79" s="32">
        <f>IF($A79="","",SUMIFS(GASTOS!$E$5:$E$304,GASTOS!$A$5:$A$304,$A79,GASTOS!$G$5:$G$304,"Efectivo",GASTOS!$H$5:$H$304,"SI"))</f>
        <v/>
      </c>
      <c r="G79" s="31" t="n"/>
      <c r="H79" s="17">
        <f>IF($A79="","",$B79+$C79-$F79-N($G79))</f>
        <v/>
      </c>
      <c r="I79" s="31" t="n"/>
      <c r="J79" s="30">
        <f>IF($A79="","",IF($I79="","",$I79-$H79))</f>
        <v/>
      </c>
    </row>
    <row r="80">
      <c r="A80" s="26" t="n"/>
      <c r="B80" s="31" t="n"/>
      <c r="C80" s="32">
        <f>IF($A80="","",SUMIFS(VENTAS!$F$5:$F$504,VENTAS!$A$5:$A$504,$A80,VENTAS!$K$5:$K$504,"Efectivo"))</f>
        <v/>
      </c>
      <c r="D80" s="32">
        <f>IF($A80="","",SUMIFS(VENTAS!$F$5:$F$504,VENTAS!$A$5:$A$504,$A80,VENTAS!$K$5:$K$504,"Transferencia"))</f>
        <v/>
      </c>
      <c r="E80" s="32">
        <f>IF($A80="","",SUMIFS(VENTAS!$F$5:$F$504,VENTAS!$A$5:$A$504,$A80,VENTAS!$K$5:$K$504,"PayPhone")+SUMIFS(VENTAS!$F$5:$F$504,VENTAS!$A$5:$A$504,$A80,VENTAS!$K$5:$K$504,"Tarjeta"))</f>
        <v/>
      </c>
      <c r="F80" s="32">
        <f>IF($A80="","",SUMIFS(GASTOS!$E$5:$E$304,GASTOS!$A$5:$A$304,$A80,GASTOS!$G$5:$G$304,"Efectivo",GASTOS!$H$5:$H$304,"SI"))</f>
        <v/>
      </c>
      <c r="G80" s="31" t="n"/>
      <c r="H80" s="17">
        <f>IF($A80="","",$B80+$C80-$F80-N($G80))</f>
        <v/>
      </c>
      <c r="I80" s="31" t="n"/>
      <c r="J80" s="30">
        <f>IF($A80="","",IF($I80="","",$I80-$H80))</f>
        <v/>
      </c>
    </row>
    <row r="81">
      <c r="A81" s="26" t="n"/>
      <c r="B81" s="31" t="n"/>
      <c r="C81" s="32">
        <f>IF($A81="","",SUMIFS(VENTAS!$F$5:$F$504,VENTAS!$A$5:$A$504,$A81,VENTAS!$K$5:$K$504,"Efectivo"))</f>
        <v/>
      </c>
      <c r="D81" s="32">
        <f>IF($A81="","",SUMIFS(VENTAS!$F$5:$F$504,VENTAS!$A$5:$A$504,$A81,VENTAS!$K$5:$K$504,"Transferencia"))</f>
        <v/>
      </c>
      <c r="E81" s="32">
        <f>IF($A81="","",SUMIFS(VENTAS!$F$5:$F$504,VENTAS!$A$5:$A$504,$A81,VENTAS!$K$5:$K$504,"PayPhone")+SUMIFS(VENTAS!$F$5:$F$504,VENTAS!$A$5:$A$504,$A81,VENTAS!$K$5:$K$504,"Tarjeta"))</f>
        <v/>
      </c>
      <c r="F81" s="32">
        <f>IF($A81="","",SUMIFS(GASTOS!$E$5:$E$304,GASTOS!$A$5:$A$304,$A81,GASTOS!$G$5:$G$304,"Efectivo",GASTOS!$H$5:$H$304,"SI"))</f>
        <v/>
      </c>
      <c r="G81" s="31" t="n"/>
      <c r="H81" s="17">
        <f>IF($A81="","",$B81+$C81-$F81-N($G81))</f>
        <v/>
      </c>
      <c r="I81" s="31" t="n"/>
      <c r="J81" s="30">
        <f>IF($A81="","",IF($I81="","",$I81-$H81))</f>
        <v/>
      </c>
    </row>
    <row r="82">
      <c r="A82" s="26" t="n"/>
      <c r="B82" s="31" t="n"/>
      <c r="C82" s="32">
        <f>IF($A82="","",SUMIFS(VENTAS!$F$5:$F$504,VENTAS!$A$5:$A$504,$A82,VENTAS!$K$5:$K$504,"Efectivo"))</f>
        <v/>
      </c>
      <c r="D82" s="32">
        <f>IF($A82="","",SUMIFS(VENTAS!$F$5:$F$504,VENTAS!$A$5:$A$504,$A82,VENTAS!$K$5:$K$504,"Transferencia"))</f>
        <v/>
      </c>
      <c r="E82" s="32">
        <f>IF($A82="","",SUMIFS(VENTAS!$F$5:$F$504,VENTAS!$A$5:$A$504,$A82,VENTAS!$K$5:$K$504,"PayPhone")+SUMIFS(VENTAS!$F$5:$F$504,VENTAS!$A$5:$A$504,$A82,VENTAS!$K$5:$K$504,"Tarjeta"))</f>
        <v/>
      </c>
      <c r="F82" s="32">
        <f>IF($A82="","",SUMIFS(GASTOS!$E$5:$E$304,GASTOS!$A$5:$A$304,$A82,GASTOS!$G$5:$G$304,"Efectivo",GASTOS!$H$5:$H$304,"SI"))</f>
        <v/>
      </c>
      <c r="G82" s="31" t="n"/>
      <c r="H82" s="17">
        <f>IF($A82="","",$B82+$C82-$F82-N($G82))</f>
        <v/>
      </c>
      <c r="I82" s="31" t="n"/>
      <c r="J82" s="30">
        <f>IF($A82="","",IF($I82="","",$I82-$H82))</f>
        <v/>
      </c>
    </row>
    <row r="83">
      <c r="A83" s="26" t="n"/>
      <c r="B83" s="31" t="n"/>
      <c r="C83" s="32">
        <f>IF($A83="","",SUMIFS(VENTAS!$F$5:$F$504,VENTAS!$A$5:$A$504,$A83,VENTAS!$K$5:$K$504,"Efectivo"))</f>
        <v/>
      </c>
      <c r="D83" s="32">
        <f>IF($A83="","",SUMIFS(VENTAS!$F$5:$F$504,VENTAS!$A$5:$A$504,$A83,VENTAS!$K$5:$K$504,"Transferencia"))</f>
        <v/>
      </c>
      <c r="E83" s="32">
        <f>IF($A83="","",SUMIFS(VENTAS!$F$5:$F$504,VENTAS!$A$5:$A$504,$A83,VENTAS!$K$5:$K$504,"PayPhone")+SUMIFS(VENTAS!$F$5:$F$504,VENTAS!$A$5:$A$504,$A83,VENTAS!$K$5:$K$504,"Tarjeta"))</f>
        <v/>
      </c>
      <c r="F83" s="32">
        <f>IF($A83="","",SUMIFS(GASTOS!$E$5:$E$304,GASTOS!$A$5:$A$304,$A83,GASTOS!$G$5:$G$304,"Efectivo",GASTOS!$H$5:$H$304,"SI"))</f>
        <v/>
      </c>
      <c r="G83" s="31" t="n"/>
      <c r="H83" s="17">
        <f>IF($A83="","",$B83+$C83-$F83-N($G83))</f>
        <v/>
      </c>
      <c r="I83" s="31" t="n"/>
      <c r="J83" s="30">
        <f>IF($A83="","",IF($I83="","",$I83-$H83))</f>
        <v/>
      </c>
    </row>
    <row r="84">
      <c r="A84" s="26" t="n"/>
      <c r="B84" s="31" t="n"/>
      <c r="C84" s="32">
        <f>IF($A84="","",SUMIFS(VENTAS!$F$5:$F$504,VENTAS!$A$5:$A$504,$A84,VENTAS!$K$5:$K$504,"Efectivo"))</f>
        <v/>
      </c>
      <c r="D84" s="32">
        <f>IF($A84="","",SUMIFS(VENTAS!$F$5:$F$504,VENTAS!$A$5:$A$504,$A84,VENTAS!$K$5:$K$504,"Transferencia"))</f>
        <v/>
      </c>
      <c r="E84" s="32">
        <f>IF($A84="","",SUMIFS(VENTAS!$F$5:$F$504,VENTAS!$A$5:$A$504,$A84,VENTAS!$K$5:$K$504,"PayPhone")+SUMIFS(VENTAS!$F$5:$F$504,VENTAS!$A$5:$A$504,$A84,VENTAS!$K$5:$K$504,"Tarjeta"))</f>
        <v/>
      </c>
      <c r="F84" s="32">
        <f>IF($A84="","",SUMIFS(GASTOS!$E$5:$E$304,GASTOS!$A$5:$A$304,$A84,GASTOS!$G$5:$G$304,"Efectivo",GASTOS!$H$5:$H$304,"SI"))</f>
        <v/>
      </c>
      <c r="G84" s="31" t="n"/>
      <c r="H84" s="17">
        <f>IF($A84="","",$B84+$C84-$F84-N($G84))</f>
        <v/>
      </c>
      <c r="I84" s="31" t="n"/>
      <c r="J84" s="30">
        <f>IF($A84="","",IF($I84="","",$I84-$H84))</f>
        <v/>
      </c>
    </row>
    <row r="85">
      <c r="A85" s="26" t="n"/>
      <c r="B85" s="31" t="n"/>
      <c r="C85" s="32">
        <f>IF($A85="","",SUMIFS(VENTAS!$F$5:$F$504,VENTAS!$A$5:$A$504,$A85,VENTAS!$K$5:$K$504,"Efectivo"))</f>
        <v/>
      </c>
      <c r="D85" s="32">
        <f>IF($A85="","",SUMIFS(VENTAS!$F$5:$F$504,VENTAS!$A$5:$A$504,$A85,VENTAS!$K$5:$K$504,"Transferencia"))</f>
        <v/>
      </c>
      <c r="E85" s="32">
        <f>IF($A85="","",SUMIFS(VENTAS!$F$5:$F$504,VENTAS!$A$5:$A$504,$A85,VENTAS!$K$5:$K$504,"PayPhone")+SUMIFS(VENTAS!$F$5:$F$504,VENTAS!$A$5:$A$504,$A85,VENTAS!$K$5:$K$504,"Tarjeta"))</f>
        <v/>
      </c>
      <c r="F85" s="32">
        <f>IF($A85="","",SUMIFS(GASTOS!$E$5:$E$304,GASTOS!$A$5:$A$304,$A85,GASTOS!$G$5:$G$304,"Efectivo",GASTOS!$H$5:$H$304,"SI"))</f>
        <v/>
      </c>
      <c r="G85" s="31" t="n"/>
      <c r="H85" s="17">
        <f>IF($A85="","",$B85+$C85-$F85-N($G85))</f>
        <v/>
      </c>
      <c r="I85" s="31" t="n"/>
      <c r="J85" s="30">
        <f>IF($A85="","",IF($I85="","",$I85-$H85))</f>
        <v/>
      </c>
    </row>
    <row r="86">
      <c r="A86" s="26" t="n"/>
      <c r="B86" s="31" t="n"/>
      <c r="C86" s="32">
        <f>IF($A86="","",SUMIFS(VENTAS!$F$5:$F$504,VENTAS!$A$5:$A$504,$A86,VENTAS!$K$5:$K$504,"Efectivo"))</f>
        <v/>
      </c>
      <c r="D86" s="32">
        <f>IF($A86="","",SUMIFS(VENTAS!$F$5:$F$504,VENTAS!$A$5:$A$504,$A86,VENTAS!$K$5:$K$504,"Transferencia"))</f>
        <v/>
      </c>
      <c r="E86" s="32">
        <f>IF($A86="","",SUMIFS(VENTAS!$F$5:$F$504,VENTAS!$A$5:$A$504,$A86,VENTAS!$K$5:$K$504,"PayPhone")+SUMIFS(VENTAS!$F$5:$F$504,VENTAS!$A$5:$A$504,$A86,VENTAS!$K$5:$K$504,"Tarjeta"))</f>
        <v/>
      </c>
      <c r="F86" s="32">
        <f>IF($A86="","",SUMIFS(GASTOS!$E$5:$E$304,GASTOS!$A$5:$A$304,$A86,GASTOS!$G$5:$G$304,"Efectivo",GASTOS!$H$5:$H$304,"SI"))</f>
        <v/>
      </c>
      <c r="G86" s="31" t="n"/>
      <c r="H86" s="17">
        <f>IF($A86="","",$B86+$C86-$F86-N($G86))</f>
        <v/>
      </c>
      <c r="I86" s="31" t="n"/>
      <c r="J86" s="30">
        <f>IF($A86="","",IF($I86="","",$I86-$H86))</f>
        <v/>
      </c>
    </row>
    <row r="87">
      <c r="A87" s="26" t="n"/>
      <c r="B87" s="31" t="n"/>
      <c r="C87" s="32">
        <f>IF($A87="","",SUMIFS(VENTAS!$F$5:$F$504,VENTAS!$A$5:$A$504,$A87,VENTAS!$K$5:$K$504,"Efectivo"))</f>
        <v/>
      </c>
      <c r="D87" s="32">
        <f>IF($A87="","",SUMIFS(VENTAS!$F$5:$F$504,VENTAS!$A$5:$A$504,$A87,VENTAS!$K$5:$K$504,"Transferencia"))</f>
        <v/>
      </c>
      <c r="E87" s="32">
        <f>IF($A87="","",SUMIFS(VENTAS!$F$5:$F$504,VENTAS!$A$5:$A$504,$A87,VENTAS!$K$5:$K$504,"PayPhone")+SUMIFS(VENTAS!$F$5:$F$504,VENTAS!$A$5:$A$504,$A87,VENTAS!$K$5:$K$504,"Tarjeta"))</f>
        <v/>
      </c>
      <c r="F87" s="32">
        <f>IF($A87="","",SUMIFS(GASTOS!$E$5:$E$304,GASTOS!$A$5:$A$304,$A87,GASTOS!$G$5:$G$304,"Efectivo",GASTOS!$H$5:$H$304,"SI"))</f>
        <v/>
      </c>
      <c r="G87" s="31" t="n"/>
      <c r="H87" s="17">
        <f>IF($A87="","",$B87+$C87-$F87-N($G87))</f>
        <v/>
      </c>
      <c r="I87" s="31" t="n"/>
      <c r="J87" s="30">
        <f>IF($A87="","",IF($I87="","",$I87-$H87))</f>
        <v/>
      </c>
    </row>
    <row r="88">
      <c r="A88" s="26" t="n"/>
      <c r="B88" s="31" t="n"/>
      <c r="C88" s="32">
        <f>IF($A88="","",SUMIFS(VENTAS!$F$5:$F$504,VENTAS!$A$5:$A$504,$A88,VENTAS!$K$5:$K$504,"Efectivo"))</f>
        <v/>
      </c>
      <c r="D88" s="32">
        <f>IF($A88="","",SUMIFS(VENTAS!$F$5:$F$504,VENTAS!$A$5:$A$504,$A88,VENTAS!$K$5:$K$504,"Transferencia"))</f>
        <v/>
      </c>
      <c r="E88" s="32">
        <f>IF($A88="","",SUMIFS(VENTAS!$F$5:$F$504,VENTAS!$A$5:$A$504,$A88,VENTAS!$K$5:$K$504,"PayPhone")+SUMIFS(VENTAS!$F$5:$F$504,VENTAS!$A$5:$A$504,$A88,VENTAS!$K$5:$K$504,"Tarjeta"))</f>
        <v/>
      </c>
      <c r="F88" s="32">
        <f>IF($A88="","",SUMIFS(GASTOS!$E$5:$E$304,GASTOS!$A$5:$A$304,$A88,GASTOS!$G$5:$G$304,"Efectivo",GASTOS!$H$5:$H$304,"SI"))</f>
        <v/>
      </c>
      <c r="G88" s="31" t="n"/>
      <c r="H88" s="17">
        <f>IF($A88="","",$B88+$C88-$F88-N($G88))</f>
        <v/>
      </c>
      <c r="I88" s="31" t="n"/>
      <c r="J88" s="30">
        <f>IF($A88="","",IF($I88="","",$I88-$H88))</f>
        <v/>
      </c>
    </row>
    <row r="89">
      <c r="A89" s="26" t="n"/>
      <c r="B89" s="31" t="n"/>
      <c r="C89" s="32">
        <f>IF($A89="","",SUMIFS(VENTAS!$F$5:$F$504,VENTAS!$A$5:$A$504,$A89,VENTAS!$K$5:$K$504,"Efectivo"))</f>
        <v/>
      </c>
      <c r="D89" s="32">
        <f>IF($A89="","",SUMIFS(VENTAS!$F$5:$F$504,VENTAS!$A$5:$A$504,$A89,VENTAS!$K$5:$K$504,"Transferencia"))</f>
        <v/>
      </c>
      <c r="E89" s="32">
        <f>IF($A89="","",SUMIFS(VENTAS!$F$5:$F$504,VENTAS!$A$5:$A$504,$A89,VENTAS!$K$5:$K$504,"PayPhone")+SUMIFS(VENTAS!$F$5:$F$504,VENTAS!$A$5:$A$504,$A89,VENTAS!$K$5:$K$504,"Tarjeta"))</f>
        <v/>
      </c>
      <c r="F89" s="32">
        <f>IF($A89="","",SUMIFS(GASTOS!$E$5:$E$304,GASTOS!$A$5:$A$304,$A89,GASTOS!$G$5:$G$304,"Efectivo",GASTOS!$H$5:$H$304,"SI"))</f>
        <v/>
      </c>
      <c r="G89" s="31" t="n"/>
      <c r="H89" s="17">
        <f>IF($A89="","",$B89+$C89-$F89-N($G89))</f>
        <v/>
      </c>
      <c r="I89" s="31" t="n"/>
      <c r="J89" s="30">
        <f>IF($A89="","",IF($I89="","",$I89-$H89))</f>
        <v/>
      </c>
    </row>
    <row r="90">
      <c r="A90" s="26" t="n"/>
      <c r="B90" s="31" t="n"/>
      <c r="C90" s="32">
        <f>IF($A90="","",SUMIFS(VENTAS!$F$5:$F$504,VENTAS!$A$5:$A$504,$A90,VENTAS!$K$5:$K$504,"Efectivo"))</f>
        <v/>
      </c>
      <c r="D90" s="32">
        <f>IF($A90="","",SUMIFS(VENTAS!$F$5:$F$504,VENTAS!$A$5:$A$504,$A90,VENTAS!$K$5:$K$504,"Transferencia"))</f>
        <v/>
      </c>
      <c r="E90" s="32">
        <f>IF($A90="","",SUMIFS(VENTAS!$F$5:$F$504,VENTAS!$A$5:$A$504,$A90,VENTAS!$K$5:$K$504,"PayPhone")+SUMIFS(VENTAS!$F$5:$F$504,VENTAS!$A$5:$A$504,$A90,VENTAS!$K$5:$K$504,"Tarjeta"))</f>
        <v/>
      </c>
      <c r="F90" s="32">
        <f>IF($A90="","",SUMIFS(GASTOS!$E$5:$E$304,GASTOS!$A$5:$A$304,$A90,GASTOS!$G$5:$G$304,"Efectivo",GASTOS!$H$5:$H$304,"SI"))</f>
        <v/>
      </c>
      <c r="G90" s="31" t="n"/>
      <c r="H90" s="17">
        <f>IF($A90="","",$B90+$C90-$F90-N($G90))</f>
        <v/>
      </c>
      <c r="I90" s="31" t="n"/>
      <c r="J90" s="30">
        <f>IF($A90="","",IF($I90="","",$I90-$H90))</f>
        <v/>
      </c>
    </row>
    <row r="91">
      <c r="A91" s="26" t="n"/>
      <c r="B91" s="31" t="n"/>
      <c r="C91" s="32">
        <f>IF($A91="","",SUMIFS(VENTAS!$F$5:$F$504,VENTAS!$A$5:$A$504,$A91,VENTAS!$K$5:$K$504,"Efectivo"))</f>
        <v/>
      </c>
      <c r="D91" s="32">
        <f>IF($A91="","",SUMIFS(VENTAS!$F$5:$F$504,VENTAS!$A$5:$A$504,$A91,VENTAS!$K$5:$K$504,"Transferencia"))</f>
        <v/>
      </c>
      <c r="E91" s="32">
        <f>IF($A91="","",SUMIFS(VENTAS!$F$5:$F$504,VENTAS!$A$5:$A$504,$A91,VENTAS!$K$5:$K$504,"PayPhone")+SUMIFS(VENTAS!$F$5:$F$504,VENTAS!$A$5:$A$504,$A91,VENTAS!$K$5:$K$504,"Tarjeta"))</f>
        <v/>
      </c>
      <c r="F91" s="32">
        <f>IF($A91="","",SUMIFS(GASTOS!$E$5:$E$304,GASTOS!$A$5:$A$304,$A91,GASTOS!$G$5:$G$304,"Efectivo",GASTOS!$H$5:$H$304,"SI"))</f>
        <v/>
      </c>
      <c r="G91" s="31" t="n"/>
      <c r="H91" s="17">
        <f>IF($A91="","",$B91+$C91-$F91-N($G91))</f>
        <v/>
      </c>
      <c r="I91" s="31" t="n"/>
      <c r="J91" s="30">
        <f>IF($A91="","",IF($I91="","",$I91-$H91))</f>
        <v/>
      </c>
    </row>
    <row r="92">
      <c r="A92" s="26" t="n"/>
      <c r="B92" s="31" t="n"/>
      <c r="C92" s="32">
        <f>IF($A92="","",SUMIFS(VENTAS!$F$5:$F$504,VENTAS!$A$5:$A$504,$A92,VENTAS!$K$5:$K$504,"Efectivo"))</f>
        <v/>
      </c>
      <c r="D92" s="32">
        <f>IF($A92="","",SUMIFS(VENTAS!$F$5:$F$504,VENTAS!$A$5:$A$504,$A92,VENTAS!$K$5:$K$504,"Transferencia"))</f>
        <v/>
      </c>
      <c r="E92" s="32">
        <f>IF($A92="","",SUMIFS(VENTAS!$F$5:$F$504,VENTAS!$A$5:$A$504,$A92,VENTAS!$K$5:$K$504,"PayPhone")+SUMIFS(VENTAS!$F$5:$F$504,VENTAS!$A$5:$A$504,$A92,VENTAS!$K$5:$K$504,"Tarjeta"))</f>
        <v/>
      </c>
      <c r="F92" s="32">
        <f>IF($A92="","",SUMIFS(GASTOS!$E$5:$E$304,GASTOS!$A$5:$A$304,$A92,GASTOS!$G$5:$G$304,"Efectivo",GASTOS!$H$5:$H$304,"SI"))</f>
        <v/>
      </c>
      <c r="G92" s="31" t="n"/>
      <c r="H92" s="17">
        <f>IF($A92="","",$B92+$C92-$F92-N($G92))</f>
        <v/>
      </c>
      <c r="I92" s="31" t="n"/>
      <c r="J92" s="30">
        <f>IF($A92="","",IF($I92="","",$I92-$H92))</f>
        <v/>
      </c>
    </row>
    <row r="93">
      <c r="A93" s="26" t="n"/>
      <c r="B93" s="31" t="n"/>
      <c r="C93" s="32">
        <f>IF($A93="","",SUMIFS(VENTAS!$F$5:$F$504,VENTAS!$A$5:$A$504,$A93,VENTAS!$K$5:$K$504,"Efectivo"))</f>
        <v/>
      </c>
      <c r="D93" s="32">
        <f>IF($A93="","",SUMIFS(VENTAS!$F$5:$F$504,VENTAS!$A$5:$A$504,$A93,VENTAS!$K$5:$K$504,"Transferencia"))</f>
        <v/>
      </c>
      <c r="E93" s="32">
        <f>IF($A93="","",SUMIFS(VENTAS!$F$5:$F$504,VENTAS!$A$5:$A$504,$A93,VENTAS!$K$5:$K$504,"PayPhone")+SUMIFS(VENTAS!$F$5:$F$504,VENTAS!$A$5:$A$504,$A93,VENTAS!$K$5:$K$504,"Tarjeta"))</f>
        <v/>
      </c>
      <c r="F93" s="32">
        <f>IF($A93="","",SUMIFS(GASTOS!$E$5:$E$304,GASTOS!$A$5:$A$304,$A93,GASTOS!$G$5:$G$304,"Efectivo",GASTOS!$H$5:$H$304,"SI"))</f>
        <v/>
      </c>
      <c r="G93" s="31" t="n"/>
      <c r="H93" s="17">
        <f>IF($A93="","",$B93+$C93-$F93-N($G93))</f>
        <v/>
      </c>
      <c r="I93" s="31" t="n"/>
      <c r="J93" s="30">
        <f>IF($A93="","",IF($I93="","",$I93-$H93))</f>
        <v/>
      </c>
    </row>
    <row r="94">
      <c r="A94" s="26" t="n"/>
      <c r="B94" s="31" t="n"/>
      <c r="C94" s="32">
        <f>IF($A94="","",SUMIFS(VENTAS!$F$5:$F$504,VENTAS!$A$5:$A$504,$A94,VENTAS!$K$5:$K$504,"Efectivo"))</f>
        <v/>
      </c>
      <c r="D94" s="32">
        <f>IF($A94="","",SUMIFS(VENTAS!$F$5:$F$504,VENTAS!$A$5:$A$504,$A94,VENTAS!$K$5:$K$504,"Transferencia"))</f>
        <v/>
      </c>
      <c r="E94" s="32">
        <f>IF($A94="","",SUMIFS(VENTAS!$F$5:$F$504,VENTAS!$A$5:$A$504,$A94,VENTAS!$K$5:$K$504,"PayPhone")+SUMIFS(VENTAS!$F$5:$F$504,VENTAS!$A$5:$A$504,$A94,VENTAS!$K$5:$K$504,"Tarjeta"))</f>
        <v/>
      </c>
      <c r="F94" s="32">
        <f>IF($A94="","",SUMIFS(GASTOS!$E$5:$E$304,GASTOS!$A$5:$A$304,$A94,GASTOS!$G$5:$G$304,"Efectivo",GASTOS!$H$5:$H$304,"SI"))</f>
        <v/>
      </c>
      <c r="G94" s="31" t="n"/>
      <c r="H94" s="17">
        <f>IF($A94="","",$B94+$C94-$F94-N($G94))</f>
        <v/>
      </c>
      <c r="I94" s="31" t="n"/>
      <c r="J94" s="30">
        <f>IF($A94="","",IF($I94="","",$I94-$H94))</f>
        <v/>
      </c>
    </row>
    <row r="95">
      <c r="A95" s="26" t="n"/>
      <c r="B95" s="31" t="n"/>
      <c r="C95" s="32">
        <f>IF($A95="","",SUMIFS(VENTAS!$F$5:$F$504,VENTAS!$A$5:$A$504,$A95,VENTAS!$K$5:$K$504,"Efectivo"))</f>
        <v/>
      </c>
      <c r="D95" s="32">
        <f>IF($A95="","",SUMIFS(VENTAS!$F$5:$F$504,VENTAS!$A$5:$A$504,$A95,VENTAS!$K$5:$K$504,"Transferencia"))</f>
        <v/>
      </c>
      <c r="E95" s="32">
        <f>IF($A95="","",SUMIFS(VENTAS!$F$5:$F$504,VENTAS!$A$5:$A$504,$A95,VENTAS!$K$5:$K$504,"PayPhone")+SUMIFS(VENTAS!$F$5:$F$504,VENTAS!$A$5:$A$504,$A95,VENTAS!$K$5:$K$504,"Tarjeta"))</f>
        <v/>
      </c>
      <c r="F95" s="32">
        <f>IF($A95="","",SUMIFS(GASTOS!$E$5:$E$304,GASTOS!$A$5:$A$304,$A95,GASTOS!$G$5:$G$304,"Efectivo",GASTOS!$H$5:$H$304,"SI"))</f>
        <v/>
      </c>
      <c r="G95" s="31" t="n"/>
      <c r="H95" s="17">
        <f>IF($A95="","",$B95+$C95-$F95-N($G95))</f>
        <v/>
      </c>
      <c r="I95" s="31" t="n"/>
      <c r="J95" s="30">
        <f>IF($A95="","",IF($I95="","",$I95-$H95))</f>
        <v/>
      </c>
    </row>
    <row r="96">
      <c r="A96" s="26" t="n"/>
      <c r="B96" s="31" t="n"/>
      <c r="C96" s="32">
        <f>IF($A96="","",SUMIFS(VENTAS!$F$5:$F$504,VENTAS!$A$5:$A$504,$A96,VENTAS!$K$5:$K$504,"Efectivo"))</f>
        <v/>
      </c>
      <c r="D96" s="32">
        <f>IF($A96="","",SUMIFS(VENTAS!$F$5:$F$504,VENTAS!$A$5:$A$504,$A96,VENTAS!$K$5:$K$504,"Transferencia"))</f>
        <v/>
      </c>
      <c r="E96" s="32">
        <f>IF($A96="","",SUMIFS(VENTAS!$F$5:$F$504,VENTAS!$A$5:$A$504,$A96,VENTAS!$K$5:$K$504,"PayPhone")+SUMIFS(VENTAS!$F$5:$F$504,VENTAS!$A$5:$A$504,$A96,VENTAS!$K$5:$K$504,"Tarjeta"))</f>
        <v/>
      </c>
      <c r="F96" s="32">
        <f>IF($A96="","",SUMIFS(GASTOS!$E$5:$E$304,GASTOS!$A$5:$A$304,$A96,GASTOS!$G$5:$G$304,"Efectivo",GASTOS!$H$5:$H$304,"SI"))</f>
        <v/>
      </c>
      <c r="G96" s="31" t="n"/>
      <c r="H96" s="17">
        <f>IF($A96="","",$B96+$C96-$F96-N($G96))</f>
        <v/>
      </c>
      <c r="I96" s="31" t="n"/>
      <c r="J96" s="30">
        <f>IF($A96="","",IF($I96="","",$I96-$H96))</f>
        <v/>
      </c>
    </row>
    <row r="97">
      <c r="A97" s="26" t="n"/>
      <c r="B97" s="31" t="n"/>
      <c r="C97" s="32">
        <f>IF($A97="","",SUMIFS(VENTAS!$F$5:$F$504,VENTAS!$A$5:$A$504,$A97,VENTAS!$K$5:$K$504,"Efectivo"))</f>
        <v/>
      </c>
      <c r="D97" s="32">
        <f>IF($A97="","",SUMIFS(VENTAS!$F$5:$F$504,VENTAS!$A$5:$A$504,$A97,VENTAS!$K$5:$K$504,"Transferencia"))</f>
        <v/>
      </c>
      <c r="E97" s="32">
        <f>IF($A97="","",SUMIFS(VENTAS!$F$5:$F$504,VENTAS!$A$5:$A$504,$A97,VENTAS!$K$5:$K$504,"PayPhone")+SUMIFS(VENTAS!$F$5:$F$504,VENTAS!$A$5:$A$504,$A97,VENTAS!$K$5:$K$504,"Tarjeta"))</f>
        <v/>
      </c>
      <c r="F97" s="32">
        <f>IF($A97="","",SUMIFS(GASTOS!$E$5:$E$304,GASTOS!$A$5:$A$304,$A97,GASTOS!$G$5:$G$304,"Efectivo",GASTOS!$H$5:$H$304,"SI"))</f>
        <v/>
      </c>
      <c r="G97" s="31" t="n"/>
      <c r="H97" s="17">
        <f>IF($A97="","",$B97+$C97-$F97-N($G97))</f>
        <v/>
      </c>
      <c r="I97" s="31" t="n"/>
      <c r="J97" s="30">
        <f>IF($A97="","",IF($I97="","",$I97-$H97))</f>
        <v/>
      </c>
    </row>
    <row r="98">
      <c r="A98" s="26" t="n"/>
      <c r="B98" s="31" t="n"/>
      <c r="C98" s="32">
        <f>IF($A98="","",SUMIFS(VENTAS!$F$5:$F$504,VENTAS!$A$5:$A$504,$A98,VENTAS!$K$5:$K$504,"Efectivo"))</f>
        <v/>
      </c>
      <c r="D98" s="32">
        <f>IF($A98="","",SUMIFS(VENTAS!$F$5:$F$504,VENTAS!$A$5:$A$504,$A98,VENTAS!$K$5:$K$504,"Transferencia"))</f>
        <v/>
      </c>
      <c r="E98" s="32">
        <f>IF($A98="","",SUMIFS(VENTAS!$F$5:$F$504,VENTAS!$A$5:$A$504,$A98,VENTAS!$K$5:$K$504,"PayPhone")+SUMIFS(VENTAS!$F$5:$F$504,VENTAS!$A$5:$A$504,$A98,VENTAS!$K$5:$K$504,"Tarjeta"))</f>
        <v/>
      </c>
      <c r="F98" s="32">
        <f>IF($A98="","",SUMIFS(GASTOS!$E$5:$E$304,GASTOS!$A$5:$A$304,$A98,GASTOS!$G$5:$G$304,"Efectivo",GASTOS!$H$5:$H$304,"SI"))</f>
        <v/>
      </c>
      <c r="G98" s="31" t="n"/>
      <c r="H98" s="17">
        <f>IF($A98="","",$B98+$C98-$F98-N($G98))</f>
        <v/>
      </c>
      <c r="I98" s="31" t="n"/>
      <c r="J98" s="30">
        <f>IF($A98="","",IF($I98="","",$I98-$H98))</f>
        <v/>
      </c>
    </row>
    <row r="99">
      <c r="A99" s="26" t="n"/>
      <c r="B99" s="31" t="n"/>
      <c r="C99" s="32">
        <f>IF($A99="","",SUMIFS(VENTAS!$F$5:$F$504,VENTAS!$A$5:$A$504,$A99,VENTAS!$K$5:$K$504,"Efectivo"))</f>
        <v/>
      </c>
      <c r="D99" s="32">
        <f>IF($A99="","",SUMIFS(VENTAS!$F$5:$F$504,VENTAS!$A$5:$A$504,$A99,VENTAS!$K$5:$K$504,"Transferencia"))</f>
        <v/>
      </c>
      <c r="E99" s="32">
        <f>IF($A99="","",SUMIFS(VENTAS!$F$5:$F$504,VENTAS!$A$5:$A$504,$A99,VENTAS!$K$5:$K$504,"PayPhone")+SUMIFS(VENTAS!$F$5:$F$504,VENTAS!$A$5:$A$504,$A99,VENTAS!$K$5:$K$504,"Tarjeta"))</f>
        <v/>
      </c>
      <c r="F99" s="32">
        <f>IF($A99="","",SUMIFS(GASTOS!$E$5:$E$304,GASTOS!$A$5:$A$304,$A99,GASTOS!$G$5:$G$304,"Efectivo",GASTOS!$H$5:$H$304,"SI"))</f>
        <v/>
      </c>
      <c r="G99" s="31" t="n"/>
      <c r="H99" s="17">
        <f>IF($A99="","",$B99+$C99-$F99-N($G99))</f>
        <v/>
      </c>
      <c r="I99" s="31" t="n"/>
      <c r="J99" s="30">
        <f>IF($A99="","",IF($I99="","",$I99-$H99))</f>
        <v/>
      </c>
    </row>
    <row r="100">
      <c r="A100" s="26" t="n"/>
      <c r="B100" s="31" t="n"/>
      <c r="C100" s="32">
        <f>IF($A100="","",SUMIFS(VENTAS!$F$5:$F$504,VENTAS!$A$5:$A$504,$A100,VENTAS!$K$5:$K$504,"Efectivo"))</f>
        <v/>
      </c>
      <c r="D100" s="32">
        <f>IF($A100="","",SUMIFS(VENTAS!$F$5:$F$504,VENTAS!$A$5:$A$504,$A100,VENTAS!$K$5:$K$504,"Transferencia"))</f>
        <v/>
      </c>
      <c r="E100" s="32">
        <f>IF($A100="","",SUMIFS(VENTAS!$F$5:$F$504,VENTAS!$A$5:$A$504,$A100,VENTAS!$K$5:$K$504,"PayPhone")+SUMIFS(VENTAS!$F$5:$F$504,VENTAS!$A$5:$A$504,$A100,VENTAS!$K$5:$K$504,"Tarjeta"))</f>
        <v/>
      </c>
      <c r="F100" s="32">
        <f>IF($A100="","",SUMIFS(GASTOS!$E$5:$E$304,GASTOS!$A$5:$A$304,$A100,GASTOS!$G$5:$G$304,"Efectivo",GASTOS!$H$5:$H$304,"SI"))</f>
        <v/>
      </c>
      <c r="G100" s="31" t="n"/>
      <c r="H100" s="17">
        <f>IF($A100="","",$B100+$C100-$F100-N($G100))</f>
        <v/>
      </c>
      <c r="I100" s="31" t="n"/>
      <c r="J100" s="30">
        <f>IF($A100="","",IF($I100="","",$I100-$H100))</f>
        <v/>
      </c>
    </row>
    <row r="101">
      <c r="A101" s="26" t="n"/>
      <c r="B101" s="31" t="n"/>
      <c r="C101" s="32">
        <f>IF($A101="","",SUMIFS(VENTAS!$F$5:$F$504,VENTAS!$A$5:$A$504,$A101,VENTAS!$K$5:$K$504,"Efectivo"))</f>
        <v/>
      </c>
      <c r="D101" s="32">
        <f>IF($A101="","",SUMIFS(VENTAS!$F$5:$F$504,VENTAS!$A$5:$A$504,$A101,VENTAS!$K$5:$K$504,"Transferencia"))</f>
        <v/>
      </c>
      <c r="E101" s="32">
        <f>IF($A101="","",SUMIFS(VENTAS!$F$5:$F$504,VENTAS!$A$5:$A$504,$A101,VENTAS!$K$5:$K$504,"PayPhone")+SUMIFS(VENTAS!$F$5:$F$504,VENTAS!$A$5:$A$504,$A101,VENTAS!$K$5:$K$504,"Tarjeta"))</f>
        <v/>
      </c>
      <c r="F101" s="32">
        <f>IF($A101="","",SUMIFS(GASTOS!$E$5:$E$304,GASTOS!$A$5:$A$304,$A101,GASTOS!$G$5:$G$304,"Efectivo",GASTOS!$H$5:$H$304,"SI"))</f>
        <v/>
      </c>
      <c r="G101" s="31" t="n"/>
      <c r="H101" s="17">
        <f>IF($A101="","",$B101+$C101-$F101-N($G101))</f>
        <v/>
      </c>
      <c r="I101" s="31" t="n"/>
      <c r="J101" s="30">
        <f>IF($A101="","",IF($I101="","",$I101-$H101))</f>
        <v/>
      </c>
    </row>
    <row r="102">
      <c r="A102" s="26" t="n"/>
      <c r="B102" s="31" t="n"/>
      <c r="C102" s="32">
        <f>IF($A102="","",SUMIFS(VENTAS!$F$5:$F$504,VENTAS!$A$5:$A$504,$A102,VENTAS!$K$5:$K$504,"Efectivo"))</f>
        <v/>
      </c>
      <c r="D102" s="32">
        <f>IF($A102="","",SUMIFS(VENTAS!$F$5:$F$504,VENTAS!$A$5:$A$504,$A102,VENTAS!$K$5:$K$504,"Transferencia"))</f>
        <v/>
      </c>
      <c r="E102" s="32">
        <f>IF($A102="","",SUMIFS(VENTAS!$F$5:$F$504,VENTAS!$A$5:$A$504,$A102,VENTAS!$K$5:$K$504,"PayPhone")+SUMIFS(VENTAS!$F$5:$F$504,VENTAS!$A$5:$A$504,$A102,VENTAS!$K$5:$K$504,"Tarjeta"))</f>
        <v/>
      </c>
      <c r="F102" s="32">
        <f>IF($A102="","",SUMIFS(GASTOS!$E$5:$E$304,GASTOS!$A$5:$A$304,$A102,GASTOS!$G$5:$G$304,"Efectivo",GASTOS!$H$5:$H$304,"SI"))</f>
        <v/>
      </c>
      <c r="G102" s="31" t="n"/>
      <c r="H102" s="17">
        <f>IF($A102="","",$B102+$C102-$F102-N($G102))</f>
        <v/>
      </c>
      <c r="I102" s="31" t="n"/>
      <c r="J102" s="30">
        <f>IF($A102="","",IF($I102="","",$I102-$H102))</f>
        <v/>
      </c>
    </row>
    <row r="103">
      <c r="A103" s="26" t="n"/>
      <c r="B103" s="31" t="n"/>
      <c r="C103" s="32">
        <f>IF($A103="","",SUMIFS(VENTAS!$F$5:$F$504,VENTAS!$A$5:$A$504,$A103,VENTAS!$K$5:$K$504,"Efectivo"))</f>
        <v/>
      </c>
      <c r="D103" s="32">
        <f>IF($A103="","",SUMIFS(VENTAS!$F$5:$F$504,VENTAS!$A$5:$A$504,$A103,VENTAS!$K$5:$K$504,"Transferencia"))</f>
        <v/>
      </c>
      <c r="E103" s="32">
        <f>IF($A103="","",SUMIFS(VENTAS!$F$5:$F$504,VENTAS!$A$5:$A$504,$A103,VENTAS!$K$5:$K$504,"PayPhone")+SUMIFS(VENTAS!$F$5:$F$504,VENTAS!$A$5:$A$504,$A103,VENTAS!$K$5:$K$504,"Tarjeta"))</f>
        <v/>
      </c>
      <c r="F103" s="32">
        <f>IF($A103="","",SUMIFS(GASTOS!$E$5:$E$304,GASTOS!$A$5:$A$304,$A103,GASTOS!$G$5:$G$304,"Efectivo",GASTOS!$H$5:$H$304,"SI"))</f>
        <v/>
      </c>
      <c r="G103" s="31" t="n"/>
      <c r="H103" s="17">
        <f>IF($A103="","",$B103+$C103-$F103-N($G103))</f>
        <v/>
      </c>
      <c r="I103" s="31" t="n"/>
      <c r="J103" s="30">
        <f>IF($A103="","",IF($I103="","",$I103-$H103))</f>
        <v/>
      </c>
    </row>
    <row r="104">
      <c r="A104" s="26" t="n"/>
      <c r="B104" s="31" t="n"/>
      <c r="C104" s="32">
        <f>IF($A104="","",SUMIFS(VENTAS!$F$5:$F$504,VENTAS!$A$5:$A$504,$A104,VENTAS!$K$5:$K$504,"Efectivo"))</f>
        <v/>
      </c>
      <c r="D104" s="32">
        <f>IF($A104="","",SUMIFS(VENTAS!$F$5:$F$504,VENTAS!$A$5:$A$504,$A104,VENTAS!$K$5:$K$504,"Transferencia"))</f>
        <v/>
      </c>
      <c r="E104" s="32">
        <f>IF($A104="","",SUMIFS(VENTAS!$F$5:$F$504,VENTAS!$A$5:$A$504,$A104,VENTAS!$K$5:$K$504,"PayPhone")+SUMIFS(VENTAS!$F$5:$F$504,VENTAS!$A$5:$A$504,$A104,VENTAS!$K$5:$K$504,"Tarjeta"))</f>
        <v/>
      </c>
      <c r="F104" s="32">
        <f>IF($A104="","",SUMIFS(GASTOS!$E$5:$E$304,GASTOS!$A$5:$A$304,$A104,GASTOS!$G$5:$G$304,"Efectivo",GASTOS!$H$5:$H$304,"SI"))</f>
        <v/>
      </c>
      <c r="G104" s="31" t="n"/>
      <c r="H104" s="17">
        <f>IF($A104="","",$B104+$C104-$F104-N($G104))</f>
        <v/>
      </c>
      <c r="I104" s="31" t="n"/>
      <c r="J104" s="30">
        <f>IF($A104="","",IF($I104="","",$I104-$H104))</f>
        <v/>
      </c>
    </row>
    <row r="105">
      <c r="A105" s="26" t="n"/>
      <c r="B105" s="31" t="n"/>
      <c r="C105" s="32">
        <f>IF($A105="","",SUMIFS(VENTAS!$F$5:$F$504,VENTAS!$A$5:$A$504,$A105,VENTAS!$K$5:$K$504,"Efectivo"))</f>
        <v/>
      </c>
      <c r="D105" s="32">
        <f>IF($A105="","",SUMIFS(VENTAS!$F$5:$F$504,VENTAS!$A$5:$A$504,$A105,VENTAS!$K$5:$K$504,"Transferencia"))</f>
        <v/>
      </c>
      <c r="E105" s="32">
        <f>IF($A105="","",SUMIFS(VENTAS!$F$5:$F$504,VENTAS!$A$5:$A$504,$A105,VENTAS!$K$5:$K$504,"PayPhone")+SUMIFS(VENTAS!$F$5:$F$504,VENTAS!$A$5:$A$504,$A105,VENTAS!$K$5:$K$504,"Tarjeta"))</f>
        <v/>
      </c>
      <c r="F105" s="32">
        <f>IF($A105="","",SUMIFS(GASTOS!$E$5:$E$304,GASTOS!$A$5:$A$304,$A105,GASTOS!$G$5:$G$304,"Efectivo",GASTOS!$H$5:$H$304,"SI"))</f>
        <v/>
      </c>
      <c r="G105" s="31" t="n"/>
      <c r="H105" s="17">
        <f>IF($A105="","",$B105+$C105-$F105-N($G105))</f>
        <v/>
      </c>
      <c r="I105" s="31" t="n"/>
      <c r="J105" s="30">
        <f>IF($A105="","",IF($I105="","",$I105-$H105))</f>
        <v/>
      </c>
    </row>
    <row r="106">
      <c r="A106" s="26" t="n"/>
      <c r="B106" s="31" t="n"/>
      <c r="C106" s="32">
        <f>IF($A106="","",SUMIFS(VENTAS!$F$5:$F$504,VENTAS!$A$5:$A$504,$A106,VENTAS!$K$5:$K$504,"Efectivo"))</f>
        <v/>
      </c>
      <c r="D106" s="32">
        <f>IF($A106="","",SUMIFS(VENTAS!$F$5:$F$504,VENTAS!$A$5:$A$504,$A106,VENTAS!$K$5:$K$504,"Transferencia"))</f>
        <v/>
      </c>
      <c r="E106" s="32">
        <f>IF($A106="","",SUMIFS(VENTAS!$F$5:$F$504,VENTAS!$A$5:$A$504,$A106,VENTAS!$K$5:$K$504,"PayPhone")+SUMIFS(VENTAS!$F$5:$F$504,VENTAS!$A$5:$A$504,$A106,VENTAS!$K$5:$K$504,"Tarjeta"))</f>
        <v/>
      </c>
      <c r="F106" s="32">
        <f>IF($A106="","",SUMIFS(GASTOS!$E$5:$E$304,GASTOS!$A$5:$A$304,$A106,GASTOS!$G$5:$G$304,"Efectivo",GASTOS!$H$5:$H$304,"SI"))</f>
        <v/>
      </c>
      <c r="G106" s="31" t="n"/>
      <c r="H106" s="17">
        <f>IF($A106="","",$B106+$C106-$F106-N($G106))</f>
        <v/>
      </c>
      <c r="I106" s="31" t="n"/>
      <c r="J106" s="30">
        <f>IF($A106="","",IF($I106="","",$I106-$H106))</f>
        <v/>
      </c>
    </row>
    <row r="107">
      <c r="A107" s="26" t="n"/>
      <c r="B107" s="31" t="n"/>
      <c r="C107" s="32">
        <f>IF($A107="","",SUMIFS(VENTAS!$F$5:$F$504,VENTAS!$A$5:$A$504,$A107,VENTAS!$K$5:$K$504,"Efectivo"))</f>
        <v/>
      </c>
      <c r="D107" s="32">
        <f>IF($A107="","",SUMIFS(VENTAS!$F$5:$F$504,VENTAS!$A$5:$A$504,$A107,VENTAS!$K$5:$K$504,"Transferencia"))</f>
        <v/>
      </c>
      <c r="E107" s="32">
        <f>IF($A107="","",SUMIFS(VENTAS!$F$5:$F$504,VENTAS!$A$5:$A$504,$A107,VENTAS!$K$5:$K$504,"PayPhone")+SUMIFS(VENTAS!$F$5:$F$504,VENTAS!$A$5:$A$504,$A107,VENTAS!$K$5:$K$504,"Tarjeta"))</f>
        <v/>
      </c>
      <c r="F107" s="32">
        <f>IF($A107="","",SUMIFS(GASTOS!$E$5:$E$304,GASTOS!$A$5:$A$304,$A107,GASTOS!$G$5:$G$304,"Efectivo",GASTOS!$H$5:$H$304,"SI"))</f>
        <v/>
      </c>
      <c r="G107" s="31" t="n"/>
      <c r="H107" s="17">
        <f>IF($A107="","",$B107+$C107-$F107-N($G107))</f>
        <v/>
      </c>
      <c r="I107" s="31" t="n"/>
      <c r="J107" s="30">
        <f>IF($A107="","",IF($I107="","",$I107-$H107))</f>
        <v/>
      </c>
    </row>
    <row r="108">
      <c r="A108" s="26" t="n"/>
      <c r="B108" s="31" t="n"/>
      <c r="C108" s="32">
        <f>IF($A108="","",SUMIFS(VENTAS!$F$5:$F$504,VENTAS!$A$5:$A$504,$A108,VENTAS!$K$5:$K$504,"Efectivo"))</f>
        <v/>
      </c>
      <c r="D108" s="32">
        <f>IF($A108="","",SUMIFS(VENTAS!$F$5:$F$504,VENTAS!$A$5:$A$504,$A108,VENTAS!$K$5:$K$504,"Transferencia"))</f>
        <v/>
      </c>
      <c r="E108" s="32">
        <f>IF($A108="","",SUMIFS(VENTAS!$F$5:$F$504,VENTAS!$A$5:$A$504,$A108,VENTAS!$K$5:$K$504,"PayPhone")+SUMIFS(VENTAS!$F$5:$F$504,VENTAS!$A$5:$A$504,$A108,VENTAS!$K$5:$K$504,"Tarjeta"))</f>
        <v/>
      </c>
      <c r="F108" s="32">
        <f>IF($A108="","",SUMIFS(GASTOS!$E$5:$E$304,GASTOS!$A$5:$A$304,$A108,GASTOS!$G$5:$G$304,"Efectivo",GASTOS!$H$5:$H$304,"SI"))</f>
        <v/>
      </c>
      <c r="G108" s="31" t="n"/>
      <c r="H108" s="17">
        <f>IF($A108="","",$B108+$C108-$F108-N($G108))</f>
        <v/>
      </c>
      <c r="I108" s="31" t="n"/>
      <c r="J108" s="30">
        <f>IF($A108="","",IF($I108="","",$I108-$H108))</f>
        <v/>
      </c>
    </row>
    <row r="109">
      <c r="A109" s="26" t="n"/>
      <c r="B109" s="31" t="n"/>
      <c r="C109" s="32">
        <f>IF($A109="","",SUMIFS(VENTAS!$F$5:$F$504,VENTAS!$A$5:$A$504,$A109,VENTAS!$K$5:$K$504,"Efectivo"))</f>
        <v/>
      </c>
      <c r="D109" s="32">
        <f>IF($A109="","",SUMIFS(VENTAS!$F$5:$F$504,VENTAS!$A$5:$A$504,$A109,VENTAS!$K$5:$K$504,"Transferencia"))</f>
        <v/>
      </c>
      <c r="E109" s="32">
        <f>IF($A109="","",SUMIFS(VENTAS!$F$5:$F$504,VENTAS!$A$5:$A$504,$A109,VENTAS!$K$5:$K$504,"PayPhone")+SUMIFS(VENTAS!$F$5:$F$504,VENTAS!$A$5:$A$504,$A109,VENTAS!$K$5:$K$504,"Tarjeta"))</f>
        <v/>
      </c>
      <c r="F109" s="32">
        <f>IF($A109="","",SUMIFS(GASTOS!$E$5:$E$304,GASTOS!$A$5:$A$304,$A109,GASTOS!$G$5:$G$304,"Efectivo",GASTOS!$H$5:$H$304,"SI"))</f>
        <v/>
      </c>
      <c r="G109" s="31" t="n"/>
      <c r="H109" s="17">
        <f>IF($A109="","",$B109+$C109-$F109-N($G109))</f>
        <v/>
      </c>
      <c r="I109" s="31" t="n"/>
      <c r="J109" s="30">
        <f>IF($A109="","",IF($I109="","",$I109-$H109))</f>
        <v/>
      </c>
    </row>
    <row r="110">
      <c r="A110" s="26" t="n"/>
      <c r="B110" s="31" t="n"/>
      <c r="C110" s="32">
        <f>IF($A110="","",SUMIFS(VENTAS!$F$5:$F$504,VENTAS!$A$5:$A$504,$A110,VENTAS!$K$5:$K$504,"Efectivo"))</f>
        <v/>
      </c>
      <c r="D110" s="32">
        <f>IF($A110="","",SUMIFS(VENTAS!$F$5:$F$504,VENTAS!$A$5:$A$504,$A110,VENTAS!$K$5:$K$504,"Transferencia"))</f>
        <v/>
      </c>
      <c r="E110" s="32">
        <f>IF($A110="","",SUMIFS(VENTAS!$F$5:$F$504,VENTAS!$A$5:$A$504,$A110,VENTAS!$K$5:$K$504,"PayPhone")+SUMIFS(VENTAS!$F$5:$F$504,VENTAS!$A$5:$A$504,$A110,VENTAS!$K$5:$K$504,"Tarjeta"))</f>
        <v/>
      </c>
      <c r="F110" s="32">
        <f>IF($A110="","",SUMIFS(GASTOS!$E$5:$E$304,GASTOS!$A$5:$A$304,$A110,GASTOS!$G$5:$G$304,"Efectivo",GASTOS!$H$5:$H$304,"SI"))</f>
        <v/>
      </c>
      <c r="G110" s="31" t="n"/>
      <c r="H110" s="17">
        <f>IF($A110="","",$B110+$C110-$F110-N($G110))</f>
        <v/>
      </c>
      <c r="I110" s="31" t="n"/>
      <c r="J110" s="30">
        <f>IF($A110="","",IF($I110="","",$I110-$H110))</f>
        <v/>
      </c>
    </row>
    <row r="111">
      <c r="A111" s="26" t="n"/>
      <c r="B111" s="31" t="n"/>
      <c r="C111" s="32">
        <f>IF($A111="","",SUMIFS(VENTAS!$F$5:$F$504,VENTAS!$A$5:$A$504,$A111,VENTAS!$K$5:$K$504,"Efectivo"))</f>
        <v/>
      </c>
      <c r="D111" s="32">
        <f>IF($A111="","",SUMIFS(VENTAS!$F$5:$F$504,VENTAS!$A$5:$A$504,$A111,VENTAS!$K$5:$K$504,"Transferencia"))</f>
        <v/>
      </c>
      <c r="E111" s="32">
        <f>IF($A111="","",SUMIFS(VENTAS!$F$5:$F$504,VENTAS!$A$5:$A$504,$A111,VENTAS!$K$5:$K$504,"PayPhone")+SUMIFS(VENTAS!$F$5:$F$504,VENTAS!$A$5:$A$504,$A111,VENTAS!$K$5:$K$504,"Tarjeta"))</f>
        <v/>
      </c>
      <c r="F111" s="32">
        <f>IF($A111="","",SUMIFS(GASTOS!$E$5:$E$304,GASTOS!$A$5:$A$304,$A111,GASTOS!$G$5:$G$304,"Efectivo",GASTOS!$H$5:$H$304,"SI"))</f>
        <v/>
      </c>
      <c r="G111" s="31" t="n"/>
      <c r="H111" s="17">
        <f>IF($A111="","",$B111+$C111-$F111-N($G111))</f>
        <v/>
      </c>
      <c r="I111" s="31" t="n"/>
      <c r="J111" s="30">
        <f>IF($A111="","",IF($I111="","",$I111-$H111))</f>
        <v/>
      </c>
    </row>
    <row r="112">
      <c r="A112" s="26" t="n"/>
      <c r="B112" s="31" t="n"/>
      <c r="C112" s="32">
        <f>IF($A112="","",SUMIFS(VENTAS!$F$5:$F$504,VENTAS!$A$5:$A$504,$A112,VENTAS!$K$5:$K$504,"Efectivo"))</f>
        <v/>
      </c>
      <c r="D112" s="32">
        <f>IF($A112="","",SUMIFS(VENTAS!$F$5:$F$504,VENTAS!$A$5:$A$504,$A112,VENTAS!$K$5:$K$504,"Transferencia"))</f>
        <v/>
      </c>
      <c r="E112" s="32">
        <f>IF($A112="","",SUMIFS(VENTAS!$F$5:$F$504,VENTAS!$A$5:$A$504,$A112,VENTAS!$K$5:$K$504,"PayPhone")+SUMIFS(VENTAS!$F$5:$F$504,VENTAS!$A$5:$A$504,$A112,VENTAS!$K$5:$K$504,"Tarjeta"))</f>
        <v/>
      </c>
      <c r="F112" s="32">
        <f>IF($A112="","",SUMIFS(GASTOS!$E$5:$E$304,GASTOS!$A$5:$A$304,$A112,GASTOS!$G$5:$G$304,"Efectivo",GASTOS!$H$5:$H$304,"SI"))</f>
        <v/>
      </c>
      <c r="G112" s="31" t="n"/>
      <c r="H112" s="17">
        <f>IF($A112="","",$B112+$C112-$F112-N($G112))</f>
        <v/>
      </c>
      <c r="I112" s="31" t="n"/>
      <c r="J112" s="30">
        <f>IF($A112="","",IF($I112="","",$I112-$H112))</f>
        <v/>
      </c>
    </row>
    <row r="113">
      <c r="A113" s="26" t="n"/>
      <c r="B113" s="31" t="n"/>
      <c r="C113" s="32">
        <f>IF($A113="","",SUMIFS(VENTAS!$F$5:$F$504,VENTAS!$A$5:$A$504,$A113,VENTAS!$K$5:$K$504,"Efectivo"))</f>
        <v/>
      </c>
      <c r="D113" s="32">
        <f>IF($A113="","",SUMIFS(VENTAS!$F$5:$F$504,VENTAS!$A$5:$A$504,$A113,VENTAS!$K$5:$K$504,"Transferencia"))</f>
        <v/>
      </c>
      <c r="E113" s="32">
        <f>IF($A113="","",SUMIFS(VENTAS!$F$5:$F$504,VENTAS!$A$5:$A$504,$A113,VENTAS!$K$5:$K$504,"PayPhone")+SUMIFS(VENTAS!$F$5:$F$504,VENTAS!$A$5:$A$504,$A113,VENTAS!$K$5:$K$504,"Tarjeta"))</f>
        <v/>
      </c>
      <c r="F113" s="32">
        <f>IF($A113="","",SUMIFS(GASTOS!$E$5:$E$304,GASTOS!$A$5:$A$304,$A113,GASTOS!$G$5:$G$304,"Efectivo",GASTOS!$H$5:$H$304,"SI"))</f>
        <v/>
      </c>
      <c r="G113" s="31" t="n"/>
      <c r="H113" s="17">
        <f>IF($A113="","",$B113+$C113-$F113-N($G113))</f>
        <v/>
      </c>
      <c r="I113" s="31" t="n"/>
      <c r="J113" s="30">
        <f>IF($A113="","",IF($I113="","",$I113-$H113))</f>
        <v/>
      </c>
    </row>
    <row r="114">
      <c r="A114" s="26" t="n"/>
      <c r="B114" s="31" t="n"/>
      <c r="C114" s="32">
        <f>IF($A114="","",SUMIFS(VENTAS!$F$5:$F$504,VENTAS!$A$5:$A$504,$A114,VENTAS!$K$5:$K$504,"Efectivo"))</f>
        <v/>
      </c>
      <c r="D114" s="32">
        <f>IF($A114="","",SUMIFS(VENTAS!$F$5:$F$504,VENTAS!$A$5:$A$504,$A114,VENTAS!$K$5:$K$504,"Transferencia"))</f>
        <v/>
      </c>
      <c r="E114" s="32">
        <f>IF($A114="","",SUMIFS(VENTAS!$F$5:$F$504,VENTAS!$A$5:$A$504,$A114,VENTAS!$K$5:$K$504,"PayPhone")+SUMIFS(VENTAS!$F$5:$F$504,VENTAS!$A$5:$A$504,$A114,VENTAS!$K$5:$K$504,"Tarjeta"))</f>
        <v/>
      </c>
      <c r="F114" s="32">
        <f>IF($A114="","",SUMIFS(GASTOS!$E$5:$E$304,GASTOS!$A$5:$A$304,$A114,GASTOS!$G$5:$G$304,"Efectivo",GASTOS!$H$5:$H$304,"SI"))</f>
        <v/>
      </c>
      <c r="G114" s="31" t="n"/>
      <c r="H114" s="17">
        <f>IF($A114="","",$B114+$C114-$F114-N($G114))</f>
        <v/>
      </c>
      <c r="I114" s="31" t="n"/>
      <c r="J114" s="30">
        <f>IF($A114="","",IF($I114="","",$I114-$H114))</f>
        <v/>
      </c>
    </row>
    <row r="115">
      <c r="A115" s="26" t="n"/>
      <c r="B115" s="31" t="n"/>
      <c r="C115" s="32">
        <f>IF($A115="","",SUMIFS(VENTAS!$F$5:$F$504,VENTAS!$A$5:$A$504,$A115,VENTAS!$K$5:$K$504,"Efectivo"))</f>
        <v/>
      </c>
      <c r="D115" s="32">
        <f>IF($A115="","",SUMIFS(VENTAS!$F$5:$F$504,VENTAS!$A$5:$A$504,$A115,VENTAS!$K$5:$K$504,"Transferencia"))</f>
        <v/>
      </c>
      <c r="E115" s="32">
        <f>IF($A115="","",SUMIFS(VENTAS!$F$5:$F$504,VENTAS!$A$5:$A$504,$A115,VENTAS!$K$5:$K$504,"PayPhone")+SUMIFS(VENTAS!$F$5:$F$504,VENTAS!$A$5:$A$504,$A115,VENTAS!$K$5:$K$504,"Tarjeta"))</f>
        <v/>
      </c>
      <c r="F115" s="32">
        <f>IF($A115="","",SUMIFS(GASTOS!$E$5:$E$304,GASTOS!$A$5:$A$304,$A115,GASTOS!$G$5:$G$304,"Efectivo",GASTOS!$H$5:$H$304,"SI"))</f>
        <v/>
      </c>
      <c r="G115" s="31" t="n"/>
      <c r="H115" s="17">
        <f>IF($A115="","",$B115+$C115-$F115-N($G115))</f>
        <v/>
      </c>
      <c r="I115" s="31" t="n"/>
      <c r="J115" s="30">
        <f>IF($A115="","",IF($I115="","",$I115-$H115))</f>
        <v/>
      </c>
    </row>
    <row r="116">
      <c r="A116" s="26" t="n"/>
      <c r="B116" s="31" t="n"/>
      <c r="C116" s="32">
        <f>IF($A116="","",SUMIFS(VENTAS!$F$5:$F$504,VENTAS!$A$5:$A$504,$A116,VENTAS!$K$5:$K$504,"Efectivo"))</f>
        <v/>
      </c>
      <c r="D116" s="32">
        <f>IF($A116="","",SUMIFS(VENTAS!$F$5:$F$504,VENTAS!$A$5:$A$504,$A116,VENTAS!$K$5:$K$504,"Transferencia"))</f>
        <v/>
      </c>
      <c r="E116" s="32">
        <f>IF($A116="","",SUMIFS(VENTAS!$F$5:$F$504,VENTAS!$A$5:$A$504,$A116,VENTAS!$K$5:$K$504,"PayPhone")+SUMIFS(VENTAS!$F$5:$F$504,VENTAS!$A$5:$A$504,$A116,VENTAS!$K$5:$K$504,"Tarjeta"))</f>
        <v/>
      </c>
      <c r="F116" s="32">
        <f>IF($A116="","",SUMIFS(GASTOS!$E$5:$E$304,GASTOS!$A$5:$A$304,$A116,GASTOS!$G$5:$G$304,"Efectivo",GASTOS!$H$5:$H$304,"SI"))</f>
        <v/>
      </c>
      <c r="G116" s="31" t="n"/>
      <c r="H116" s="17">
        <f>IF($A116="","",$B116+$C116-$F116-N($G116))</f>
        <v/>
      </c>
      <c r="I116" s="31" t="n"/>
      <c r="J116" s="30">
        <f>IF($A116="","",IF($I116="","",$I116-$H116))</f>
        <v/>
      </c>
    </row>
    <row r="117">
      <c r="A117" s="26" t="n"/>
      <c r="B117" s="31" t="n"/>
      <c r="C117" s="32">
        <f>IF($A117="","",SUMIFS(VENTAS!$F$5:$F$504,VENTAS!$A$5:$A$504,$A117,VENTAS!$K$5:$K$504,"Efectivo"))</f>
        <v/>
      </c>
      <c r="D117" s="32">
        <f>IF($A117="","",SUMIFS(VENTAS!$F$5:$F$504,VENTAS!$A$5:$A$504,$A117,VENTAS!$K$5:$K$504,"Transferencia"))</f>
        <v/>
      </c>
      <c r="E117" s="32">
        <f>IF($A117="","",SUMIFS(VENTAS!$F$5:$F$504,VENTAS!$A$5:$A$504,$A117,VENTAS!$K$5:$K$504,"PayPhone")+SUMIFS(VENTAS!$F$5:$F$504,VENTAS!$A$5:$A$504,$A117,VENTAS!$K$5:$K$504,"Tarjeta"))</f>
        <v/>
      </c>
      <c r="F117" s="32">
        <f>IF($A117="","",SUMIFS(GASTOS!$E$5:$E$304,GASTOS!$A$5:$A$304,$A117,GASTOS!$G$5:$G$304,"Efectivo",GASTOS!$H$5:$H$304,"SI"))</f>
        <v/>
      </c>
      <c r="G117" s="31" t="n"/>
      <c r="H117" s="17">
        <f>IF($A117="","",$B117+$C117-$F117-N($G117))</f>
        <v/>
      </c>
      <c r="I117" s="31" t="n"/>
      <c r="J117" s="30">
        <f>IF($A117="","",IF($I117="","",$I117-$H117))</f>
        <v/>
      </c>
    </row>
    <row r="118">
      <c r="A118" s="26" t="n"/>
      <c r="B118" s="31" t="n"/>
      <c r="C118" s="32">
        <f>IF($A118="","",SUMIFS(VENTAS!$F$5:$F$504,VENTAS!$A$5:$A$504,$A118,VENTAS!$K$5:$K$504,"Efectivo"))</f>
        <v/>
      </c>
      <c r="D118" s="32">
        <f>IF($A118="","",SUMIFS(VENTAS!$F$5:$F$504,VENTAS!$A$5:$A$504,$A118,VENTAS!$K$5:$K$504,"Transferencia"))</f>
        <v/>
      </c>
      <c r="E118" s="32">
        <f>IF($A118="","",SUMIFS(VENTAS!$F$5:$F$504,VENTAS!$A$5:$A$504,$A118,VENTAS!$K$5:$K$504,"PayPhone")+SUMIFS(VENTAS!$F$5:$F$504,VENTAS!$A$5:$A$504,$A118,VENTAS!$K$5:$K$504,"Tarjeta"))</f>
        <v/>
      </c>
      <c r="F118" s="32">
        <f>IF($A118="","",SUMIFS(GASTOS!$E$5:$E$304,GASTOS!$A$5:$A$304,$A118,GASTOS!$G$5:$G$304,"Efectivo",GASTOS!$H$5:$H$304,"SI"))</f>
        <v/>
      </c>
      <c r="G118" s="31" t="n"/>
      <c r="H118" s="17">
        <f>IF($A118="","",$B118+$C118-$F118-N($G118))</f>
        <v/>
      </c>
      <c r="I118" s="31" t="n"/>
      <c r="J118" s="30">
        <f>IF($A118="","",IF($I118="","",$I118-$H118))</f>
        <v/>
      </c>
    </row>
    <row r="119">
      <c r="A119" s="26" t="n"/>
      <c r="B119" s="31" t="n"/>
      <c r="C119" s="32">
        <f>IF($A119="","",SUMIFS(VENTAS!$F$5:$F$504,VENTAS!$A$5:$A$504,$A119,VENTAS!$K$5:$K$504,"Efectivo"))</f>
        <v/>
      </c>
      <c r="D119" s="32">
        <f>IF($A119="","",SUMIFS(VENTAS!$F$5:$F$504,VENTAS!$A$5:$A$504,$A119,VENTAS!$K$5:$K$504,"Transferencia"))</f>
        <v/>
      </c>
      <c r="E119" s="32">
        <f>IF($A119="","",SUMIFS(VENTAS!$F$5:$F$504,VENTAS!$A$5:$A$504,$A119,VENTAS!$K$5:$K$504,"PayPhone")+SUMIFS(VENTAS!$F$5:$F$504,VENTAS!$A$5:$A$504,$A119,VENTAS!$K$5:$K$504,"Tarjeta"))</f>
        <v/>
      </c>
      <c r="F119" s="32">
        <f>IF($A119="","",SUMIFS(GASTOS!$E$5:$E$304,GASTOS!$A$5:$A$304,$A119,GASTOS!$G$5:$G$304,"Efectivo",GASTOS!$H$5:$H$304,"SI"))</f>
        <v/>
      </c>
      <c r="G119" s="31" t="n"/>
      <c r="H119" s="17">
        <f>IF($A119="","",$B119+$C119-$F119-N($G119))</f>
        <v/>
      </c>
      <c r="I119" s="31" t="n"/>
      <c r="J119" s="30">
        <f>IF($A119="","",IF($I119="","",$I119-$H119))</f>
        <v/>
      </c>
    </row>
    <row r="120">
      <c r="A120" s="26" t="n"/>
      <c r="B120" s="31" t="n"/>
      <c r="C120" s="32">
        <f>IF($A120="","",SUMIFS(VENTAS!$F$5:$F$504,VENTAS!$A$5:$A$504,$A120,VENTAS!$K$5:$K$504,"Efectivo"))</f>
        <v/>
      </c>
      <c r="D120" s="32">
        <f>IF($A120="","",SUMIFS(VENTAS!$F$5:$F$504,VENTAS!$A$5:$A$504,$A120,VENTAS!$K$5:$K$504,"Transferencia"))</f>
        <v/>
      </c>
      <c r="E120" s="32">
        <f>IF($A120="","",SUMIFS(VENTAS!$F$5:$F$504,VENTAS!$A$5:$A$504,$A120,VENTAS!$K$5:$K$504,"PayPhone")+SUMIFS(VENTAS!$F$5:$F$504,VENTAS!$A$5:$A$504,$A120,VENTAS!$K$5:$K$504,"Tarjeta"))</f>
        <v/>
      </c>
      <c r="F120" s="32">
        <f>IF($A120="","",SUMIFS(GASTOS!$E$5:$E$304,GASTOS!$A$5:$A$304,$A120,GASTOS!$G$5:$G$304,"Efectivo",GASTOS!$H$5:$H$304,"SI"))</f>
        <v/>
      </c>
      <c r="G120" s="31" t="n"/>
      <c r="H120" s="17">
        <f>IF($A120="","",$B120+$C120-$F120-N($G120))</f>
        <v/>
      </c>
      <c r="I120" s="31" t="n"/>
      <c r="J120" s="30">
        <f>IF($A120="","",IF($I120="","",$I120-$H120))</f>
        <v/>
      </c>
    </row>
    <row r="121">
      <c r="A121" s="26" t="n"/>
      <c r="B121" s="31" t="n"/>
      <c r="C121" s="32">
        <f>IF($A121="","",SUMIFS(VENTAS!$F$5:$F$504,VENTAS!$A$5:$A$504,$A121,VENTAS!$K$5:$K$504,"Efectivo"))</f>
        <v/>
      </c>
      <c r="D121" s="32">
        <f>IF($A121="","",SUMIFS(VENTAS!$F$5:$F$504,VENTAS!$A$5:$A$504,$A121,VENTAS!$K$5:$K$504,"Transferencia"))</f>
        <v/>
      </c>
      <c r="E121" s="32">
        <f>IF($A121="","",SUMIFS(VENTAS!$F$5:$F$504,VENTAS!$A$5:$A$504,$A121,VENTAS!$K$5:$K$504,"PayPhone")+SUMIFS(VENTAS!$F$5:$F$504,VENTAS!$A$5:$A$504,$A121,VENTAS!$K$5:$K$504,"Tarjeta"))</f>
        <v/>
      </c>
      <c r="F121" s="32">
        <f>IF($A121="","",SUMIFS(GASTOS!$E$5:$E$304,GASTOS!$A$5:$A$304,$A121,GASTOS!$G$5:$G$304,"Efectivo",GASTOS!$H$5:$H$304,"SI"))</f>
        <v/>
      </c>
      <c r="G121" s="31" t="n"/>
      <c r="H121" s="17">
        <f>IF($A121="","",$B121+$C121-$F121-N($G121))</f>
        <v/>
      </c>
      <c r="I121" s="31" t="n"/>
      <c r="J121" s="30">
        <f>IF($A121="","",IF($I121="","",$I121-$H121))</f>
        <v/>
      </c>
    </row>
    <row r="122">
      <c r="A122" s="26" t="n"/>
      <c r="B122" s="31" t="n"/>
      <c r="C122" s="32">
        <f>IF($A122="","",SUMIFS(VENTAS!$F$5:$F$504,VENTAS!$A$5:$A$504,$A122,VENTAS!$K$5:$K$504,"Efectivo"))</f>
        <v/>
      </c>
      <c r="D122" s="32">
        <f>IF($A122="","",SUMIFS(VENTAS!$F$5:$F$504,VENTAS!$A$5:$A$504,$A122,VENTAS!$K$5:$K$504,"Transferencia"))</f>
        <v/>
      </c>
      <c r="E122" s="32">
        <f>IF($A122="","",SUMIFS(VENTAS!$F$5:$F$504,VENTAS!$A$5:$A$504,$A122,VENTAS!$K$5:$K$504,"PayPhone")+SUMIFS(VENTAS!$F$5:$F$504,VENTAS!$A$5:$A$504,$A122,VENTAS!$K$5:$K$504,"Tarjeta"))</f>
        <v/>
      </c>
      <c r="F122" s="32">
        <f>IF($A122="","",SUMIFS(GASTOS!$E$5:$E$304,GASTOS!$A$5:$A$304,$A122,GASTOS!$G$5:$G$304,"Efectivo",GASTOS!$H$5:$H$304,"SI"))</f>
        <v/>
      </c>
      <c r="G122" s="31" t="n"/>
      <c r="H122" s="17">
        <f>IF($A122="","",$B122+$C122-$F122-N($G122))</f>
        <v/>
      </c>
      <c r="I122" s="31" t="n"/>
      <c r="J122" s="30">
        <f>IF($A122="","",IF($I122="","",$I122-$H122))</f>
        <v/>
      </c>
    </row>
    <row r="123">
      <c r="A123" s="26" t="n"/>
      <c r="B123" s="31" t="n"/>
      <c r="C123" s="32">
        <f>IF($A123="","",SUMIFS(VENTAS!$F$5:$F$504,VENTAS!$A$5:$A$504,$A123,VENTAS!$K$5:$K$504,"Efectivo"))</f>
        <v/>
      </c>
      <c r="D123" s="32">
        <f>IF($A123="","",SUMIFS(VENTAS!$F$5:$F$504,VENTAS!$A$5:$A$504,$A123,VENTAS!$K$5:$K$504,"Transferencia"))</f>
        <v/>
      </c>
      <c r="E123" s="32">
        <f>IF($A123="","",SUMIFS(VENTAS!$F$5:$F$504,VENTAS!$A$5:$A$504,$A123,VENTAS!$K$5:$K$504,"PayPhone")+SUMIFS(VENTAS!$F$5:$F$504,VENTAS!$A$5:$A$504,$A123,VENTAS!$K$5:$K$504,"Tarjeta"))</f>
        <v/>
      </c>
      <c r="F123" s="32">
        <f>IF($A123="","",SUMIFS(GASTOS!$E$5:$E$304,GASTOS!$A$5:$A$304,$A123,GASTOS!$G$5:$G$304,"Efectivo",GASTOS!$H$5:$H$304,"SI"))</f>
        <v/>
      </c>
      <c r="G123" s="31" t="n"/>
      <c r="H123" s="17">
        <f>IF($A123="","",$B123+$C123-$F123-N($G123))</f>
        <v/>
      </c>
      <c r="I123" s="31" t="n"/>
      <c r="J123" s="30">
        <f>IF($A123="","",IF($I123="","",$I123-$H123))</f>
        <v/>
      </c>
    </row>
    <row r="124">
      <c r="A124" s="26" t="n"/>
      <c r="B124" s="31" t="n"/>
      <c r="C124" s="32">
        <f>IF($A124="","",SUMIFS(VENTAS!$F$5:$F$504,VENTAS!$A$5:$A$504,$A124,VENTAS!$K$5:$K$504,"Efectivo"))</f>
        <v/>
      </c>
      <c r="D124" s="32">
        <f>IF($A124="","",SUMIFS(VENTAS!$F$5:$F$504,VENTAS!$A$5:$A$504,$A124,VENTAS!$K$5:$K$504,"Transferencia"))</f>
        <v/>
      </c>
      <c r="E124" s="32">
        <f>IF($A124="","",SUMIFS(VENTAS!$F$5:$F$504,VENTAS!$A$5:$A$504,$A124,VENTAS!$K$5:$K$504,"PayPhone")+SUMIFS(VENTAS!$F$5:$F$504,VENTAS!$A$5:$A$504,$A124,VENTAS!$K$5:$K$504,"Tarjeta"))</f>
        <v/>
      </c>
      <c r="F124" s="32">
        <f>IF($A124="","",SUMIFS(GASTOS!$E$5:$E$304,GASTOS!$A$5:$A$304,$A124,GASTOS!$G$5:$G$304,"Efectivo",GASTOS!$H$5:$H$304,"SI"))</f>
        <v/>
      </c>
      <c r="G124" s="31" t="n"/>
      <c r="H124" s="17">
        <f>IF($A124="","",$B124+$C124-$F124-N($G124))</f>
        <v/>
      </c>
      <c r="I124" s="31" t="n"/>
      <c r="J124" s="30">
        <f>IF($A124="","",IF($I124="","",$I124-$H124))</f>
        <v/>
      </c>
    </row>
    <row r="125">
      <c r="A125" s="26" t="n"/>
      <c r="B125" s="31" t="n"/>
      <c r="C125" s="32">
        <f>IF($A125="","",SUMIFS(VENTAS!$F$5:$F$504,VENTAS!$A$5:$A$504,$A125,VENTAS!$K$5:$K$504,"Efectivo"))</f>
        <v/>
      </c>
      <c r="D125" s="32">
        <f>IF($A125="","",SUMIFS(VENTAS!$F$5:$F$504,VENTAS!$A$5:$A$504,$A125,VENTAS!$K$5:$K$504,"Transferencia"))</f>
        <v/>
      </c>
      <c r="E125" s="32">
        <f>IF($A125="","",SUMIFS(VENTAS!$F$5:$F$504,VENTAS!$A$5:$A$504,$A125,VENTAS!$K$5:$K$504,"PayPhone")+SUMIFS(VENTAS!$F$5:$F$504,VENTAS!$A$5:$A$504,$A125,VENTAS!$K$5:$K$504,"Tarjeta"))</f>
        <v/>
      </c>
      <c r="F125" s="32">
        <f>IF($A125="","",SUMIFS(GASTOS!$E$5:$E$304,GASTOS!$A$5:$A$304,$A125,GASTOS!$G$5:$G$304,"Efectivo",GASTOS!$H$5:$H$304,"SI"))</f>
        <v/>
      </c>
      <c r="G125" s="31" t="n"/>
      <c r="H125" s="17">
        <f>IF($A125="","",$B125+$C125-$F125-N($G125))</f>
        <v/>
      </c>
      <c r="I125" s="31" t="n"/>
      <c r="J125" s="30">
        <f>IF($A125="","",IF($I125="","",$I125-$H125))</f>
        <v/>
      </c>
    </row>
    <row r="126">
      <c r="A126" s="26" t="n"/>
      <c r="B126" s="31" t="n"/>
      <c r="C126" s="32">
        <f>IF($A126="","",SUMIFS(VENTAS!$F$5:$F$504,VENTAS!$A$5:$A$504,$A126,VENTAS!$K$5:$K$504,"Efectivo"))</f>
        <v/>
      </c>
      <c r="D126" s="32">
        <f>IF($A126="","",SUMIFS(VENTAS!$F$5:$F$504,VENTAS!$A$5:$A$504,$A126,VENTAS!$K$5:$K$504,"Transferencia"))</f>
        <v/>
      </c>
      <c r="E126" s="32">
        <f>IF($A126="","",SUMIFS(VENTAS!$F$5:$F$504,VENTAS!$A$5:$A$504,$A126,VENTAS!$K$5:$K$504,"PayPhone")+SUMIFS(VENTAS!$F$5:$F$504,VENTAS!$A$5:$A$504,$A126,VENTAS!$K$5:$K$504,"Tarjeta"))</f>
        <v/>
      </c>
      <c r="F126" s="32">
        <f>IF($A126="","",SUMIFS(GASTOS!$E$5:$E$304,GASTOS!$A$5:$A$304,$A126,GASTOS!$G$5:$G$304,"Efectivo",GASTOS!$H$5:$H$304,"SI"))</f>
        <v/>
      </c>
      <c r="G126" s="31" t="n"/>
      <c r="H126" s="17">
        <f>IF($A126="","",$B126+$C126-$F126-N($G126))</f>
        <v/>
      </c>
      <c r="I126" s="31" t="n"/>
      <c r="J126" s="30">
        <f>IF($A126="","",IF($I126="","",$I126-$H126))</f>
        <v/>
      </c>
    </row>
    <row r="127">
      <c r="A127" s="26" t="n"/>
      <c r="B127" s="31" t="n"/>
      <c r="C127" s="32">
        <f>IF($A127="","",SUMIFS(VENTAS!$F$5:$F$504,VENTAS!$A$5:$A$504,$A127,VENTAS!$K$5:$K$504,"Efectivo"))</f>
        <v/>
      </c>
      <c r="D127" s="32">
        <f>IF($A127="","",SUMIFS(VENTAS!$F$5:$F$504,VENTAS!$A$5:$A$504,$A127,VENTAS!$K$5:$K$504,"Transferencia"))</f>
        <v/>
      </c>
      <c r="E127" s="32">
        <f>IF($A127="","",SUMIFS(VENTAS!$F$5:$F$504,VENTAS!$A$5:$A$504,$A127,VENTAS!$K$5:$K$504,"PayPhone")+SUMIFS(VENTAS!$F$5:$F$504,VENTAS!$A$5:$A$504,$A127,VENTAS!$K$5:$K$504,"Tarjeta"))</f>
        <v/>
      </c>
      <c r="F127" s="32">
        <f>IF($A127="","",SUMIFS(GASTOS!$E$5:$E$304,GASTOS!$A$5:$A$304,$A127,GASTOS!$G$5:$G$304,"Efectivo",GASTOS!$H$5:$H$304,"SI"))</f>
        <v/>
      </c>
      <c r="G127" s="31" t="n"/>
      <c r="H127" s="17">
        <f>IF($A127="","",$B127+$C127-$F127-N($G127))</f>
        <v/>
      </c>
      <c r="I127" s="31" t="n"/>
      <c r="J127" s="30">
        <f>IF($A127="","",IF($I127="","",$I127-$H127))</f>
        <v/>
      </c>
    </row>
    <row r="128">
      <c r="A128" s="26" t="n"/>
      <c r="B128" s="31" t="n"/>
      <c r="C128" s="32">
        <f>IF($A128="","",SUMIFS(VENTAS!$F$5:$F$504,VENTAS!$A$5:$A$504,$A128,VENTAS!$K$5:$K$504,"Efectivo"))</f>
        <v/>
      </c>
      <c r="D128" s="32">
        <f>IF($A128="","",SUMIFS(VENTAS!$F$5:$F$504,VENTAS!$A$5:$A$504,$A128,VENTAS!$K$5:$K$504,"Transferencia"))</f>
        <v/>
      </c>
      <c r="E128" s="32">
        <f>IF($A128="","",SUMIFS(VENTAS!$F$5:$F$504,VENTAS!$A$5:$A$504,$A128,VENTAS!$K$5:$K$504,"PayPhone")+SUMIFS(VENTAS!$F$5:$F$504,VENTAS!$A$5:$A$504,$A128,VENTAS!$K$5:$K$504,"Tarjeta"))</f>
        <v/>
      </c>
      <c r="F128" s="32">
        <f>IF($A128="","",SUMIFS(GASTOS!$E$5:$E$304,GASTOS!$A$5:$A$304,$A128,GASTOS!$G$5:$G$304,"Efectivo",GASTOS!$H$5:$H$304,"SI"))</f>
        <v/>
      </c>
      <c r="G128" s="31" t="n"/>
      <c r="H128" s="17">
        <f>IF($A128="","",$B128+$C128-$F128-N($G128))</f>
        <v/>
      </c>
      <c r="I128" s="31" t="n"/>
      <c r="J128" s="30">
        <f>IF($A128="","",IF($I128="","",$I128-$H128))</f>
        <v/>
      </c>
    </row>
    <row r="129">
      <c r="A129" s="26" t="n"/>
      <c r="B129" s="31" t="n"/>
      <c r="C129" s="32">
        <f>IF($A129="","",SUMIFS(VENTAS!$F$5:$F$504,VENTAS!$A$5:$A$504,$A129,VENTAS!$K$5:$K$504,"Efectivo"))</f>
        <v/>
      </c>
      <c r="D129" s="32">
        <f>IF($A129="","",SUMIFS(VENTAS!$F$5:$F$504,VENTAS!$A$5:$A$504,$A129,VENTAS!$K$5:$K$504,"Transferencia"))</f>
        <v/>
      </c>
      <c r="E129" s="32">
        <f>IF($A129="","",SUMIFS(VENTAS!$F$5:$F$504,VENTAS!$A$5:$A$504,$A129,VENTAS!$K$5:$K$504,"PayPhone")+SUMIFS(VENTAS!$F$5:$F$504,VENTAS!$A$5:$A$504,$A129,VENTAS!$K$5:$K$504,"Tarjeta"))</f>
        <v/>
      </c>
      <c r="F129" s="32">
        <f>IF($A129="","",SUMIFS(GASTOS!$E$5:$E$304,GASTOS!$A$5:$A$304,$A129,GASTOS!$G$5:$G$304,"Efectivo",GASTOS!$H$5:$H$304,"SI"))</f>
        <v/>
      </c>
      <c r="G129" s="31" t="n"/>
      <c r="H129" s="17">
        <f>IF($A129="","",$B129+$C129-$F129-N($G129))</f>
        <v/>
      </c>
      <c r="I129" s="31" t="n"/>
      <c r="J129" s="30">
        <f>IF($A129="","",IF($I129="","",$I129-$H129))</f>
        <v/>
      </c>
    </row>
    <row r="130">
      <c r="A130" s="26" t="n"/>
      <c r="B130" s="31" t="n"/>
      <c r="C130" s="32">
        <f>IF($A130="","",SUMIFS(VENTAS!$F$5:$F$504,VENTAS!$A$5:$A$504,$A130,VENTAS!$K$5:$K$504,"Efectivo"))</f>
        <v/>
      </c>
      <c r="D130" s="32">
        <f>IF($A130="","",SUMIFS(VENTAS!$F$5:$F$504,VENTAS!$A$5:$A$504,$A130,VENTAS!$K$5:$K$504,"Transferencia"))</f>
        <v/>
      </c>
      <c r="E130" s="32">
        <f>IF($A130="","",SUMIFS(VENTAS!$F$5:$F$504,VENTAS!$A$5:$A$504,$A130,VENTAS!$K$5:$K$504,"PayPhone")+SUMIFS(VENTAS!$F$5:$F$504,VENTAS!$A$5:$A$504,$A130,VENTAS!$K$5:$K$504,"Tarjeta"))</f>
        <v/>
      </c>
      <c r="F130" s="32">
        <f>IF($A130="","",SUMIFS(GASTOS!$E$5:$E$304,GASTOS!$A$5:$A$304,$A130,GASTOS!$G$5:$G$304,"Efectivo",GASTOS!$H$5:$H$304,"SI"))</f>
        <v/>
      </c>
      <c r="G130" s="31" t="n"/>
      <c r="H130" s="17">
        <f>IF($A130="","",$B130+$C130-$F130-N($G130))</f>
        <v/>
      </c>
      <c r="I130" s="31" t="n"/>
      <c r="J130" s="30">
        <f>IF($A130="","",IF($I130="","",$I130-$H130))</f>
        <v/>
      </c>
    </row>
    <row r="131">
      <c r="A131" s="26" t="n"/>
      <c r="B131" s="31" t="n"/>
      <c r="C131" s="32">
        <f>IF($A131="","",SUMIFS(VENTAS!$F$5:$F$504,VENTAS!$A$5:$A$504,$A131,VENTAS!$K$5:$K$504,"Efectivo"))</f>
        <v/>
      </c>
      <c r="D131" s="32">
        <f>IF($A131="","",SUMIFS(VENTAS!$F$5:$F$504,VENTAS!$A$5:$A$504,$A131,VENTAS!$K$5:$K$504,"Transferencia"))</f>
        <v/>
      </c>
      <c r="E131" s="32">
        <f>IF($A131="","",SUMIFS(VENTAS!$F$5:$F$504,VENTAS!$A$5:$A$504,$A131,VENTAS!$K$5:$K$504,"PayPhone")+SUMIFS(VENTAS!$F$5:$F$504,VENTAS!$A$5:$A$504,$A131,VENTAS!$K$5:$K$504,"Tarjeta"))</f>
        <v/>
      </c>
      <c r="F131" s="32">
        <f>IF($A131="","",SUMIFS(GASTOS!$E$5:$E$304,GASTOS!$A$5:$A$304,$A131,GASTOS!$G$5:$G$304,"Efectivo",GASTOS!$H$5:$H$304,"SI"))</f>
        <v/>
      </c>
      <c r="G131" s="31" t="n"/>
      <c r="H131" s="17">
        <f>IF($A131="","",$B131+$C131-$F131-N($G131))</f>
        <v/>
      </c>
      <c r="I131" s="31" t="n"/>
      <c r="J131" s="30">
        <f>IF($A131="","",IF($I131="","",$I131-$H131))</f>
        <v/>
      </c>
    </row>
    <row r="132">
      <c r="A132" s="26" t="n"/>
      <c r="B132" s="31" t="n"/>
      <c r="C132" s="32">
        <f>IF($A132="","",SUMIFS(VENTAS!$F$5:$F$504,VENTAS!$A$5:$A$504,$A132,VENTAS!$K$5:$K$504,"Efectivo"))</f>
        <v/>
      </c>
      <c r="D132" s="32">
        <f>IF($A132="","",SUMIFS(VENTAS!$F$5:$F$504,VENTAS!$A$5:$A$504,$A132,VENTAS!$K$5:$K$504,"Transferencia"))</f>
        <v/>
      </c>
      <c r="E132" s="32">
        <f>IF($A132="","",SUMIFS(VENTAS!$F$5:$F$504,VENTAS!$A$5:$A$504,$A132,VENTAS!$K$5:$K$504,"PayPhone")+SUMIFS(VENTAS!$F$5:$F$504,VENTAS!$A$5:$A$504,$A132,VENTAS!$K$5:$K$504,"Tarjeta"))</f>
        <v/>
      </c>
      <c r="F132" s="32">
        <f>IF($A132="","",SUMIFS(GASTOS!$E$5:$E$304,GASTOS!$A$5:$A$304,$A132,GASTOS!$G$5:$G$304,"Efectivo",GASTOS!$H$5:$H$304,"SI"))</f>
        <v/>
      </c>
      <c r="G132" s="31" t="n"/>
      <c r="H132" s="17">
        <f>IF($A132="","",$B132+$C132-$F132-N($G132))</f>
        <v/>
      </c>
      <c r="I132" s="31" t="n"/>
      <c r="J132" s="30">
        <f>IF($A132="","",IF($I132="","",$I132-$H132))</f>
        <v/>
      </c>
    </row>
    <row r="133">
      <c r="A133" s="26" t="n"/>
      <c r="B133" s="31" t="n"/>
      <c r="C133" s="32">
        <f>IF($A133="","",SUMIFS(VENTAS!$F$5:$F$504,VENTAS!$A$5:$A$504,$A133,VENTAS!$K$5:$K$504,"Efectivo"))</f>
        <v/>
      </c>
      <c r="D133" s="32">
        <f>IF($A133="","",SUMIFS(VENTAS!$F$5:$F$504,VENTAS!$A$5:$A$504,$A133,VENTAS!$K$5:$K$504,"Transferencia"))</f>
        <v/>
      </c>
      <c r="E133" s="32">
        <f>IF($A133="","",SUMIFS(VENTAS!$F$5:$F$504,VENTAS!$A$5:$A$504,$A133,VENTAS!$K$5:$K$504,"PayPhone")+SUMIFS(VENTAS!$F$5:$F$504,VENTAS!$A$5:$A$504,$A133,VENTAS!$K$5:$K$504,"Tarjeta"))</f>
        <v/>
      </c>
      <c r="F133" s="32">
        <f>IF($A133="","",SUMIFS(GASTOS!$E$5:$E$304,GASTOS!$A$5:$A$304,$A133,GASTOS!$G$5:$G$304,"Efectivo",GASTOS!$H$5:$H$304,"SI"))</f>
        <v/>
      </c>
      <c r="G133" s="31" t="n"/>
      <c r="H133" s="17">
        <f>IF($A133="","",$B133+$C133-$F133-N($G133))</f>
        <v/>
      </c>
      <c r="I133" s="31" t="n"/>
      <c r="J133" s="30">
        <f>IF($A133="","",IF($I133="","",$I133-$H133))</f>
        <v/>
      </c>
    </row>
    <row r="134">
      <c r="A134" s="26" t="n"/>
      <c r="B134" s="31" t="n"/>
      <c r="C134" s="32">
        <f>IF($A134="","",SUMIFS(VENTAS!$F$5:$F$504,VENTAS!$A$5:$A$504,$A134,VENTAS!$K$5:$K$504,"Efectivo"))</f>
        <v/>
      </c>
      <c r="D134" s="32">
        <f>IF($A134="","",SUMIFS(VENTAS!$F$5:$F$504,VENTAS!$A$5:$A$504,$A134,VENTAS!$K$5:$K$504,"Transferencia"))</f>
        <v/>
      </c>
      <c r="E134" s="32">
        <f>IF($A134="","",SUMIFS(VENTAS!$F$5:$F$504,VENTAS!$A$5:$A$504,$A134,VENTAS!$K$5:$K$504,"PayPhone")+SUMIFS(VENTAS!$F$5:$F$504,VENTAS!$A$5:$A$504,$A134,VENTAS!$K$5:$K$504,"Tarjeta"))</f>
        <v/>
      </c>
      <c r="F134" s="32">
        <f>IF($A134="","",SUMIFS(GASTOS!$E$5:$E$304,GASTOS!$A$5:$A$304,$A134,GASTOS!$G$5:$G$304,"Efectivo",GASTOS!$H$5:$H$304,"SI"))</f>
        <v/>
      </c>
      <c r="G134" s="31" t="n"/>
      <c r="H134" s="17">
        <f>IF($A134="","",$B134+$C134-$F134-N($G134))</f>
        <v/>
      </c>
      <c r="I134" s="31" t="n"/>
      <c r="J134" s="30">
        <f>IF($A134="","",IF($I134="","",$I134-$H134))</f>
        <v/>
      </c>
    </row>
    <row r="135">
      <c r="A135" s="26" t="n"/>
      <c r="B135" s="31" t="n"/>
      <c r="C135" s="32">
        <f>IF($A135="","",SUMIFS(VENTAS!$F$5:$F$504,VENTAS!$A$5:$A$504,$A135,VENTAS!$K$5:$K$504,"Efectivo"))</f>
        <v/>
      </c>
      <c r="D135" s="32">
        <f>IF($A135="","",SUMIFS(VENTAS!$F$5:$F$504,VENTAS!$A$5:$A$504,$A135,VENTAS!$K$5:$K$504,"Transferencia"))</f>
        <v/>
      </c>
      <c r="E135" s="32">
        <f>IF($A135="","",SUMIFS(VENTAS!$F$5:$F$504,VENTAS!$A$5:$A$504,$A135,VENTAS!$K$5:$K$504,"PayPhone")+SUMIFS(VENTAS!$F$5:$F$504,VENTAS!$A$5:$A$504,$A135,VENTAS!$K$5:$K$504,"Tarjeta"))</f>
        <v/>
      </c>
      <c r="F135" s="32">
        <f>IF($A135="","",SUMIFS(GASTOS!$E$5:$E$304,GASTOS!$A$5:$A$304,$A135,GASTOS!$G$5:$G$304,"Efectivo",GASTOS!$H$5:$H$304,"SI"))</f>
        <v/>
      </c>
      <c r="G135" s="31" t="n"/>
      <c r="H135" s="17">
        <f>IF($A135="","",$B135+$C135-$F135-N($G135))</f>
        <v/>
      </c>
      <c r="I135" s="31" t="n"/>
      <c r="J135" s="30">
        <f>IF($A135="","",IF($I135="","",$I135-$H135))</f>
        <v/>
      </c>
    </row>
    <row r="136">
      <c r="A136" s="26" t="n"/>
      <c r="B136" s="31" t="n"/>
      <c r="C136" s="32">
        <f>IF($A136="","",SUMIFS(VENTAS!$F$5:$F$504,VENTAS!$A$5:$A$504,$A136,VENTAS!$K$5:$K$504,"Efectivo"))</f>
        <v/>
      </c>
      <c r="D136" s="32">
        <f>IF($A136="","",SUMIFS(VENTAS!$F$5:$F$504,VENTAS!$A$5:$A$504,$A136,VENTAS!$K$5:$K$504,"Transferencia"))</f>
        <v/>
      </c>
      <c r="E136" s="32">
        <f>IF($A136="","",SUMIFS(VENTAS!$F$5:$F$504,VENTAS!$A$5:$A$504,$A136,VENTAS!$K$5:$K$504,"PayPhone")+SUMIFS(VENTAS!$F$5:$F$504,VENTAS!$A$5:$A$504,$A136,VENTAS!$K$5:$K$504,"Tarjeta"))</f>
        <v/>
      </c>
      <c r="F136" s="32">
        <f>IF($A136="","",SUMIFS(GASTOS!$E$5:$E$304,GASTOS!$A$5:$A$304,$A136,GASTOS!$G$5:$G$304,"Efectivo",GASTOS!$H$5:$H$304,"SI"))</f>
        <v/>
      </c>
      <c r="G136" s="31" t="n"/>
      <c r="H136" s="17">
        <f>IF($A136="","",$B136+$C136-$F136-N($G136))</f>
        <v/>
      </c>
      <c r="I136" s="31" t="n"/>
      <c r="J136" s="30">
        <f>IF($A136="","",IF($I136="","",$I136-$H136))</f>
        <v/>
      </c>
    </row>
    <row r="137">
      <c r="A137" s="26" t="n"/>
      <c r="B137" s="31" t="n"/>
      <c r="C137" s="32">
        <f>IF($A137="","",SUMIFS(VENTAS!$F$5:$F$504,VENTAS!$A$5:$A$504,$A137,VENTAS!$K$5:$K$504,"Efectivo"))</f>
        <v/>
      </c>
      <c r="D137" s="32">
        <f>IF($A137="","",SUMIFS(VENTAS!$F$5:$F$504,VENTAS!$A$5:$A$504,$A137,VENTAS!$K$5:$K$504,"Transferencia"))</f>
        <v/>
      </c>
      <c r="E137" s="32">
        <f>IF($A137="","",SUMIFS(VENTAS!$F$5:$F$504,VENTAS!$A$5:$A$504,$A137,VENTAS!$K$5:$K$504,"PayPhone")+SUMIFS(VENTAS!$F$5:$F$504,VENTAS!$A$5:$A$504,$A137,VENTAS!$K$5:$K$504,"Tarjeta"))</f>
        <v/>
      </c>
      <c r="F137" s="32">
        <f>IF($A137="","",SUMIFS(GASTOS!$E$5:$E$304,GASTOS!$A$5:$A$304,$A137,GASTOS!$G$5:$G$304,"Efectivo",GASTOS!$H$5:$H$304,"SI"))</f>
        <v/>
      </c>
      <c r="G137" s="31" t="n"/>
      <c r="H137" s="17">
        <f>IF($A137="","",$B137+$C137-$F137-N($G137))</f>
        <v/>
      </c>
      <c r="I137" s="31" t="n"/>
      <c r="J137" s="30">
        <f>IF($A137="","",IF($I137="","",$I137-$H137))</f>
        <v/>
      </c>
    </row>
    <row r="138">
      <c r="A138" s="26" t="n"/>
      <c r="B138" s="31" t="n"/>
      <c r="C138" s="32">
        <f>IF($A138="","",SUMIFS(VENTAS!$F$5:$F$504,VENTAS!$A$5:$A$504,$A138,VENTAS!$K$5:$K$504,"Efectivo"))</f>
        <v/>
      </c>
      <c r="D138" s="32">
        <f>IF($A138="","",SUMIFS(VENTAS!$F$5:$F$504,VENTAS!$A$5:$A$504,$A138,VENTAS!$K$5:$K$504,"Transferencia"))</f>
        <v/>
      </c>
      <c r="E138" s="32">
        <f>IF($A138="","",SUMIFS(VENTAS!$F$5:$F$504,VENTAS!$A$5:$A$504,$A138,VENTAS!$K$5:$K$504,"PayPhone")+SUMIFS(VENTAS!$F$5:$F$504,VENTAS!$A$5:$A$504,$A138,VENTAS!$K$5:$K$504,"Tarjeta"))</f>
        <v/>
      </c>
      <c r="F138" s="32">
        <f>IF($A138="","",SUMIFS(GASTOS!$E$5:$E$304,GASTOS!$A$5:$A$304,$A138,GASTOS!$G$5:$G$304,"Efectivo",GASTOS!$H$5:$H$304,"SI"))</f>
        <v/>
      </c>
      <c r="G138" s="31" t="n"/>
      <c r="H138" s="17">
        <f>IF($A138="","",$B138+$C138-$F138-N($G138))</f>
        <v/>
      </c>
      <c r="I138" s="31" t="n"/>
      <c r="J138" s="30">
        <f>IF($A138="","",IF($I138="","",$I138-$H138))</f>
        <v/>
      </c>
    </row>
    <row r="139">
      <c r="A139" s="26" t="n"/>
      <c r="B139" s="31" t="n"/>
      <c r="C139" s="32">
        <f>IF($A139="","",SUMIFS(VENTAS!$F$5:$F$504,VENTAS!$A$5:$A$504,$A139,VENTAS!$K$5:$K$504,"Efectivo"))</f>
        <v/>
      </c>
      <c r="D139" s="32">
        <f>IF($A139="","",SUMIFS(VENTAS!$F$5:$F$504,VENTAS!$A$5:$A$504,$A139,VENTAS!$K$5:$K$504,"Transferencia"))</f>
        <v/>
      </c>
      <c r="E139" s="32">
        <f>IF($A139="","",SUMIFS(VENTAS!$F$5:$F$504,VENTAS!$A$5:$A$504,$A139,VENTAS!$K$5:$K$504,"PayPhone")+SUMIFS(VENTAS!$F$5:$F$504,VENTAS!$A$5:$A$504,$A139,VENTAS!$K$5:$K$504,"Tarjeta"))</f>
        <v/>
      </c>
      <c r="F139" s="32">
        <f>IF($A139="","",SUMIFS(GASTOS!$E$5:$E$304,GASTOS!$A$5:$A$304,$A139,GASTOS!$G$5:$G$304,"Efectivo",GASTOS!$H$5:$H$304,"SI"))</f>
        <v/>
      </c>
      <c r="G139" s="31" t="n"/>
      <c r="H139" s="17">
        <f>IF($A139="","",$B139+$C139-$F139-N($G139))</f>
        <v/>
      </c>
      <c r="I139" s="31" t="n"/>
      <c r="J139" s="30">
        <f>IF($A139="","",IF($I139="","",$I139-$H139))</f>
        <v/>
      </c>
    </row>
    <row r="140">
      <c r="A140" s="26" t="n"/>
      <c r="B140" s="31" t="n"/>
      <c r="C140" s="32">
        <f>IF($A140="","",SUMIFS(VENTAS!$F$5:$F$504,VENTAS!$A$5:$A$504,$A140,VENTAS!$K$5:$K$504,"Efectivo"))</f>
        <v/>
      </c>
      <c r="D140" s="32">
        <f>IF($A140="","",SUMIFS(VENTAS!$F$5:$F$504,VENTAS!$A$5:$A$504,$A140,VENTAS!$K$5:$K$504,"Transferencia"))</f>
        <v/>
      </c>
      <c r="E140" s="32">
        <f>IF($A140="","",SUMIFS(VENTAS!$F$5:$F$504,VENTAS!$A$5:$A$504,$A140,VENTAS!$K$5:$K$504,"PayPhone")+SUMIFS(VENTAS!$F$5:$F$504,VENTAS!$A$5:$A$504,$A140,VENTAS!$K$5:$K$504,"Tarjeta"))</f>
        <v/>
      </c>
      <c r="F140" s="32">
        <f>IF($A140="","",SUMIFS(GASTOS!$E$5:$E$304,GASTOS!$A$5:$A$304,$A140,GASTOS!$G$5:$G$304,"Efectivo",GASTOS!$H$5:$H$304,"SI"))</f>
        <v/>
      </c>
      <c r="G140" s="31" t="n"/>
      <c r="H140" s="17">
        <f>IF($A140="","",$B140+$C140-$F140-N($G140))</f>
        <v/>
      </c>
      <c r="I140" s="31" t="n"/>
      <c r="J140" s="30">
        <f>IF($A140="","",IF($I140="","",$I140-$H140))</f>
        <v/>
      </c>
    </row>
    <row r="141">
      <c r="A141" s="26" t="n"/>
      <c r="B141" s="31" t="n"/>
      <c r="C141" s="32">
        <f>IF($A141="","",SUMIFS(VENTAS!$F$5:$F$504,VENTAS!$A$5:$A$504,$A141,VENTAS!$K$5:$K$504,"Efectivo"))</f>
        <v/>
      </c>
      <c r="D141" s="32">
        <f>IF($A141="","",SUMIFS(VENTAS!$F$5:$F$504,VENTAS!$A$5:$A$504,$A141,VENTAS!$K$5:$K$504,"Transferencia"))</f>
        <v/>
      </c>
      <c r="E141" s="32">
        <f>IF($A141="","",SUMIFS(VENTAS!$F$5:$F$504,VENTAS!$A$5:$A$504,$A141,VENTAS!$K$5:$K$504,"PayPhone")+SUMIFS(VENTAS!$F$5:$F$504,VENTAS!$A$5:$A$504,$A141,VENTAS!$K$5:$K$504,"Tarjeta"))</f>
        <v/>
      </c>
      <c r="F141" s="32">
        <f>IF($A141="","",SUMIFS(GASTOS!$E$5:$E$304,GASTOS!$A$5:$A$304,$A141,GASTOS!$G$5:$G$304,"Efectivo",GASTOS!$H$5:$H$304,"SI"))</f>
        <v/>
      </c>
      <c r="G141" s="31" t="n"/>
      <c r="H141" s="17">
        <f>IF($A141="","",$B141+$C141-$F141-N($G141))</f>
        <v/>
      </c>
      <c r="I141" s="31" t="n"/>
      <c r="J141" s="30">
        <f>IF($A141="","",IF($I141="","",$I141-$H141))</f>
        <v/>
      </c>
    </row>
    <row r="142">
      <c r="A142" s="26" t="n"/>
      <c r="B142" s="31" t="n"/>
      <c r="C142" s="32">
        <f>IF($A142="","",SUMIFS(VENTAS!$F$5:$F$504,VENTAS!$A$5:$A$504,$A142,VENTAS!$K$5:$K$504,"Efectivo"))</f>
        <v/>
      </c>
      <c r="D142" s="32">
        <f>IF($A142="","",SUMIFS(VENTAS!$F$5:$F$504,VENTAS!$A$5:$A$504,$A142,VENTAS!$K$5:$K$504,"Transferencia"))</f>
        <v/>
      </c>
      <c r="E142" s="32">
        <f>IF($A142="","",SUMIFS(VENTAS!$F$5:$F$504,VENTAS!$A$5:$A$504,$A142,VENTAS!$K$5:$K$504,"PayPhone")+SUMIFS(VENTAS!$F$5:$F$504,VENTAS!$A$5:$A$504,$A142,VENTAS!$K$5:$K$504,"Tarjeta"))</f>
        <v/>
      </c>
      <c r="F142" s="32">
        <f>IF($A142="","",SUMIFS(GASTOS!$E$5:$E$304,GASTOS!$A$5:$A$304,$A142,GASTOS!$G$5:$G$304,"Efectivo",GASTOS!$H$5:$H$304,"SI"))</f>
        <v/>
      </c>
      <c r="G142" s="31" t="n"/>
      <c r="H142" s="17">
        <f>IF($A142="","",$B142+$C142-$F142-N($G142))</f>
        <v/>
      </c>
      <c r="I142" s="31" t="n"/>
      <c r="J142" s="30">
        <f>IF($A142="","",IF($I142="","",$I142-$H142))</f>
        <v/>
      </c>
    </row>
    <row r="143">
      <c r="A143" s="26" t="n"/>
      <c r="B143" s="31" t="n"/>
      <c r="C143" s="32">
        <f>IF($A143="","",SUMIFS(VENTAS!$F$5:$F$504,VENTAS!$A$5:$A$504,$A143,VENTAS!$K$5:$K$504,"Efectivo"))</f>
        <v/>
      </c>
      <c r="D143" s="32">
        <f>IF($A143="","",SUMIFS(VENTAS!$F$5:$F$504,VENTAS!$A$5:$A$504,$A143,VENTAS!$K$5:$K$504,"Transferencia"))</f>
        <v/>
      </c>
      <c r="E143" s="32">
        <f>IF($A143="","",SUMIFS(VENTAS!$F$5:$F$504,VENTAS!$A$5:$A$504,$A143,VENTAS!$K$5:$K$504,"PayPhone")+SUMIFS(VENTAS!$F$5:$F$504,VENTAS!$A$5:$A$504,$A143,VENTAS!$K$5:$K$504,"Tarjeta"))</f>
        <v/>
      </c>
      <c r="F143" s="32">
        <f>IF($A143="","",SUMIFS(GASTOS!$E$5:$E$304,GASTOS!$A$5:$A$304,$A143,GASTOS!$G$5:$G$304,"Efectivo",GASTOS!$H$5:$H$304,"SI"))</f>
        <v/>
      </c>
      <c r="G143" s="31" t="n"/>
      <c r="H143" s="17">
        <f>IF($A143="","",$B143+$C143-$F143-N($G143))</f>
        <v/>
      </c>
      <c r="I143" s="31" t="n"/>
      <c r="J143" s="30">
        <f>IF($A143="","",IF($I143="","",$I143-$H143))</f>
        <v/>
      </c>
    </row>
    <row r="144">
      <c r="A144" s="26" t="n"/>
      <c r="B144" s="31" t="n"/>
      <c r="C144" s="32">
        <f>IF($A144="","",SUMIFS(VENTAS!$F$5:$F$504,VENTAS!$A$5:$A$504,$A144,VENTAS!$K$5:$K$504,"Efectivo"))</f>
        <v/>
      </c>
      <c r="D144" s="32">
        <f>IF($A144="","",SUMIFS(VENTAS!$F$5:$F$504,VENTAS!$A$5:$A$504,$A144,VENTAS!$K$5:$K$504,"Transferencia"))</f>
        <v/>
      </c>
      <c r="E144" s="32">
        <f>IF($A144="","",SUMIFS(VENTAS!$F$5:$F$504,VENTAS!$A$5:$A$504,$A144,VENTAS!$K$5:$K$504,"PayPhone")+SUMIFS(VENTAS!$F$5:$F$504,VENTAS!$A$5:$A$504,$A144,VENTAS!$K$5:$K$504,"Tarjeta"))</f>
        <v/>
      </c>
      <c r="F144" s="32">
        <f>IF($A144="","",SUMIFS(GASTOS!$E$5:$E$304,GASTOS!$A$5:$A$304,$A144,GASTOS!$G$5:$G$304,"Efectivo",GASTOS!$H$5:$H$304,"SI"))</f>
        <v/>
      </c>
      <c r="G144" s="31" t="n"/>
      <c r="H144" s="17">
        <f>IF($A144="","",$B144+$C144-$F144-N($G144))</f>
        <v/>
      </c>
      <c r="I144" s="31" t="n"/>
      <c r="J144" s="30">
        <f>IF($A144="","",IF($I144="","",$I144-$H144))</f>
        <v/>
      </c>
    </row>
    <row r="145">
      <c r="A145" s="26" t="n"/>
      <c r="B145" s="31" t="n"/>
      <c r="C145" s="32">
        <f>IF($A145="","",SUMIFS(VENTAS!$F$5:$F$504,VENTAS!$A$5:$A$504,$A145,VENTAS!$K$5:$K$504,"Efectivo"))</f>
        <v/>
      </c>
      <c r="D145" s="32">
        <f>IF($A145="","",SUMIFS(VENTAS!$F$5:$F$504,VENTAS!$A$5:$A$504,$A145,VENTAS!$K$5:$K$504,"Transferencia"))</f>
        <v/>
      </c>
      <c r="E145" s="32">
        <f>IF($A145="","",SUMIFS(VENTAS!$F$5:$F$504,VENTAS!$A$5:$A$504,$A145,VENTAS!$K$5:$K$504,"PayPhone")+SUMIFS(VENTAS!$F$5:$F$504,VENTAS!$A$5:$A$504,$A145,VENTAS!$K$5:$K$504,"Tarjeta"))</f>
        <v/>
      </c>
      <c r="F145" s="32">
        <f>IF($A145="","",SUMIFS(GASTOS!$E$5:$E$304,GASTOS!$A$5:$A$304,$A145,GASTOS!$G$5:$G$304,"Efectivo",GASTOS!$H$5:$H$304,"SI"))</f>
        <v/>
      </c>
      <c r="G145" s="31" t="n"/>
      <c r="H145" s="17">
        <f>IF($A145="","",$B145+$C145-$F145-N($G145))</f>
        <v/>
      </c>
      <c r="I145" s="31" t="n"/>
      <c r="J145" s="30">
        <f>IF($A145="","",IF($I145="","",$I145-$H145))</f>
        <v/>
      </c>
    </row>
    <row r="146">
      <c r="A146" s="26" t="n"/>
      <c r="B146" s="31" t="n"/>
      <c r="C146" s="32">
        <f>IF($A146="","",SUMIFS(VENTAS!$F$5:$F$504,VENTAS!$A$5:$A$504,$A146,VENTAS!$K$5:$K$504,"Efectivo"))</f>
        <v/>
      </c>
      <c r="D146" s="32">
        <f>IF($A146="","",SUMIFS(VENTAS!$F$5:$F$504,VENTAS!$A$5:$A$504,$A146,VENTAS!$K$5:$K$504,"Transferencia"))</f>
        <v/>
      </c>
      <c r="E146" s="32">
        <f>IF($A146="","",SUMIFS(VENTAS!$F$5:$F$504,VENTAS!$A$5:$A$504,$A146,VENTAS!$K$5:$K$504,"PayPhone")+SUMIFS(VENTAS!$F$5:$F$504,VENTAS!$A$5:$A$504,$A146,VENTAS!$K$5:$K$504,"Tarjeta"))</f>
        <v/>
      </c>
      <c r="F146" s="32">
        <f>IF($A146="","",SUMIFS(GASTOS!$E$5:$E$304,GASTOS!$A$5:$A$304,$A146,GASTOS!$G$5:$G$304,"Efectivo",GASTOS!$H$5:$H$304,"SI"))</f>
        <v/>
      </c>
      <c r="G146" s="31" t="n"/>
      <c r="H146" s="17">
        <f>IF($A146="","",$B146+$C146-$F146-N($G146))</f>
        <v/>
      </c>
      <c r="I146" s="31" t="n"/>
      <c r="J146" s="30">
        <f>IF($A146="","",IF($I146="","",$I146-$H146))</f>
        <v/>
      </c>
    </row>
    <row r="147">
      <c r="A147" s="26" t="n"/>
      <c r="B147" s="31" t="n"/>
      <c r="C147" s="32">
        <f>IF($A147="","",SUMIFS(VENTAS!$F$5:$F$504,VENTAS!$A$5:$A$504,$A147,VENTAS!$K$5:$K$504,"Efectivo"))</f>
        <v/>
      </c>
      <c r="D147" s="32">
        <f>IF($A147="","",SUMIFS(VENTAS!$F$5:$F$504,VENTAS!$A$5:$A$504,$A147,VENTAS!$K$5:$K$504,"Transferencia"))</f>
        <v/>
      </c>
      <c r="E147" s="32">
        <f>IF($A147="","",SUMIFS(VENTAS!$F$5:$F$504,VENTAS!$A$5:$A$504,$A147,VENTAS!$K$5:$K$504,"PayPhone")+SUMIFS(VENTAS!$F$5:$F$504,VENTAS!$A$5:$A$504,$A147,VENTAS!$K$5:$K$504,"Tarjeta"))</f>
        <v/>
      </c>
      <c r="F147" s="32">
        <f>IF($A147="","",SUMIFS(GASTOS!$E$5:$E$304,GASTOS!$A$5:$A$304,$A147,GASTOS!$G$5:$G$304,"Efectivo",GASTOS!$H$5:$H$304,"SI"))</f>
        <v/>
      </c>
      <c r="G147" s="31" t="n"/>
      <c r="H147" s="17">
        <f>IF($A147="","",$B147+$C147-$F147-N($G147))</f>
        <v/>
      </c>
      <c r="I147" s="31" t="n"/>
      <c r="J147" s="30">
        <f>IF($A147="","",IF($I147="","",$I147-$H147))</f>
        <v/>
      </c>
    </row>
    <row r="148">
      <c r="A148" s="26" t="n"/>
      <c r="B148" s="31" t="n"/>
      <c r="C148" s="32">
        <f>IF($A148="","",SUMIFS(VENTAS!$F$5:$F$504,VENTAS!$A$5:$A$504,$A148,VENTAS!$K$5:$K$504,"Efectivo"))</f>
        <v/>
      </c>
      <c r="D148" s="32">
        <f>IF($A148="","",SUMIFS(VENTAS!$F$5:$F$504,VENTAS!$A$5:$A$504,$A148,VENTAS!$K$5:$K$504,"Transferencia"))</f>
        <v/>
      </c>
      <c r="E148" s="32">
        <f>IF($A148="","",SUMIFS(VENTAS!$F$5:$F$504,VENTAS!$A$5:$A$504,$A148,VENTAS!$K$5:$K$504,"PayPhone")+SUMIFS(VENTAS!$F$5:$F$504,VENTAS!$A$5:$A$504,$A148,VENTAS!$K$5:$K$504,"Tarjeta"))</f>
        <v/>
      </c>
      <c r="F148" s="32">
        <f>IF($A148="","",SUMIFS(GASTOS!$E$5:$E$304,GASTOS!$A$5:$A$304,$A148,GASTOS!$G$5:$G$304,"Efectivo",GASTOS!$H$5:$H$304,"SI"))</f>
        <v/>
      </c>
      <c r="G148" s="31" t="n"/>
      <c r="H148" s="17">
        <f>IF($A148="","",$B148+$C148-$F148-N($G148))</f>
        <v/>
      </c>
      <c r="I148" s="31" t="n"/>
      <c r="J148" s="30">
        <f>IF($A148="","",IF($I148="","",$I148-$H148))</f>
        <v/>
      </c>
    </row>
    <row r="149">
      <c r="A149" s="26" t="n"/>
      <c r="B149" s="31" t="n"/>
      <c r="C149" s="32">
        <f>IF($A149="","",SUMIFS(VENTAS!$F$5:$F$504,VENTAS!$A$5:$A$504,$A149,VENTAS!$K$5:$K$504,"Efectivo"))</f>
        <v/>
      </c>
      <c r="D149" s="32">
        <f>IF($A149="","",SUMIFS(VENTAS!$F$5:$F$504,VENTAS!$A$5:$A$504,$A149,VENTAS!$K$5:$K$504,"Transferencia"))</f>
        <v/>
      </c>
      <c r="E149" s="32">
        <f>IF($A149="","",SUMIFS(VENTAS!$F$5:$F$504,VENTAS!$A$5:$A$504,$A149,VENTAS!$K$5:$K$504,"PayPhone")+SUMIFS(VENTAS!$F$5:$F$504,VENTAS!$A$5:$A$504,$A149,VENTAS!$K$5:$K$504,"Tarjeta"))</f>
        <v/>
      </c>
      <c r="F149" s="32">
        <f>IF($A149="","",SUMIFS(GASTOS!$E$5:$E$304,GASTOS!$A$5:$A$304,$A149,GASTOS!$G$5:$G$304,"Efectivo",GASTOS!$H$5:$H$304,"SI"))</f>
        <v/>
      </c>
      <c r="G149" s="31" t="n"/>
      <c r="H149" s="17">
        <f>IF($A149="","",$B149+$C149-$F149-N($G149))</f>
        <v/>
      </c>
      <c r="I149" s="31" t="n"/>
      <c r="J149" s="30">
        <f>IF($A149="","",IF($I149="","",$I149-$H149))</f>
        <v/>
      </c>
    </row>
    <row r="150">
      <c r="A150" s="26" t="n"/>
      <c r="B150" s="31" t="n"/>
      <c r="C150" s="32">
        <f>IF($A150="","",SUMIFS(VENTAS!$F$5:$F$504,VENTAS!$A$5:$A$504,$A150,VENTAS!$K$5:$K$504,"Efectivo"))</f>
        <v/>
      </c>
      <c r="D150" s="32">
        <f>IF($A150="","",SUMIFS(VENTAS!$F$5:$F$504,VENTAS!$A$5:$A$504,$A150,VENTAS!$K$5:$K$504,"Transferencia"))</f>
        <v/>
      </c>
      <c r="E150" s="32">
        <f>IF($A150="","",SUMIFS(VENTAS!$F$5:$F$504,VENTAS!$A$5:$A$504,$A150,VENTAS!$K$5:$K$504,"PayPhone")+SUMIFS(VENTAS!$F$5:$F$504,VENTAS!$A$5:$A$504,$A150,VENTAS!$K$5:$K$504,"Tarjeta"))</f>
        <v/>
      </c>
      <c r="F150" s="32">
        <f>IF($A150="","",SUMIFS(GASTOS!$E$5:$E$304,GASTOS!$A$5:$A$304,$A150,GASTOS!$G$5:$G$304,"Efectivo",GASTOS!$H$5:$H$304,"SI"))</f>
        <v/>
      </c>
      <c r="G150" s="31" t="n"/>
      <c r="H150" s="17">
        <f>IF($A150="","",$B150+$C150-$F150-N($G150))</f>
        <v/>
      </c>
      <c r="I150" s="31" t="n"/>
      <c r="J150" s="30">
        <f>IF($A150="","",IF($I150="","",$I150-$H150))</f>
        <v/>
      </c>
    </row>
    <row r="151">
      <c r="A151" s="26" t="n"/>
      <c r="B151" s="31" t="n"/>
      <c r="C151" s="32">
        <f>IF($A151="","",SUMIFS(VENTAS!$F$5:$F$504,VENTAS!$A$5:$A$504,$A151,VENTAS!$K$5:$K$504,"Efectivo"))</f>
        <v/>
      </c>
      <c r="D151" s="32">
        <f>IF($A151="","",SUMIFS(VENTAS!$F$5:$F$504,VENTAS!$A$5:$A$504,$A151,VENTAS!$K$5:$K$504,"Transferencia"))</f>
        <v/>
      </c>
      <c r="E151" s="32">
        <f>IF($A151="","",SUMIFS(VENTAS!$F$5:$F$504,VENTAS!$A$5:$A$504,$A151,VENTAS!$K$5:$K$504,"PayPhone")+SUMIFS(VENTAS!$F$5:$F$504,VENTAS!$A$5:$A$504,$A151,VENTAS!$K$5:$K$504,"Tarjeta"))</f>
        <v/>
      </c>
      <c r="F151" s="32">
        <f>IF($A151="","",SUMIFS(GASTOS!$E$5:$E$304,GASTOS!$A$5:$A$304,$A151,GASTOS!$G$5:$G$304,"Efectivo",GASTOS!$H$5:$H$304,"SI"))</f>
        <v/>
      </c>
      <c r="G151" s="31" t="n"/>
      <c r="H151" s="17">
        <f>IF($A151="","",$B151+$C151-$F151-N($G151))</f>
        <v/>
      </c>
      <c r="I151" s="31" t="n"/>
      <c r="J151" s="30">
        <f>IF($A151="","",IF($I151="","",$I151-$H151))</f>
        <v/>
      </c>
    </row>
    <row r="152">
      <c r="A152" s="26" t="n"/>
      <c r="B152" s="31" t="n"/>
      <c r="C152" s="32">
        <f>IF($A152="","",SUMIFS(VENTAS!$F$5:$F$504,VENTAS!$A$5:$A$504,$A152,VENTAS!$K$5:$K$504,"Efectivo"))</f>
        <v/>
      </c>
      <c r="D152" s="32">
        <f>IF($A152="","",SUMIFS(VENTAS!$F$5:$F$504,VENTAS!$A$5:$A$504,$A152,VENTAS!$K$5:$K$504,"Transferencia"))</f>
        <v/>
      </c>
      <c r="E152" s="32">
        <f>IF($A152="","",SUMIFS(VENTAS!$F$5:$F$504,VENTAS!$A$5:$A$504,$A152,VENTAS!$K$5:$K$504,"PayPhone")+SUMIFS(VENTAS!$F$5:$F$504,VENTAS!$A$5:$A$504,$A152,VENTAS!$K$5:$K$504,"Tarjeta"))</f>
        <v/>
      </c>
      <c r="F152" s="32">
        <f>IF($A152="","",SUMIFS(GASTOS!$E$5:$E$304,GASTOS!$A$5:$A$304,$A152,GASTOS!$G$5:$G$304,"Efectivo",GASTOS!$H$5:$H$304,"SI"))</f>
        <v/>
      </c>
      <c r="G152" s="31" t="n"/>
      <c r="H152" s="17">
        <f>IF($A152="","",$B152+$C152-$F152-N($G152))</f>
        <v/>
      </c>
      <c r="I152" s="31" t="n"/>
      <c r="J152" s="30">
        <f>IF($A152="","",IF($I152="","",$I152-$H152))</f>
        <v/>
      </c>
    </row>
    <row r="153">
      <c r="A153" s="26" t="n"/>
      <c r="B153" s="31" t="n"/>
      <c r="C153" s="32">
        <f>IF($A153="","",SUMIFS(VENTAS!$F$5:$F$504,VENTAS!$A$5:$A$504,$A153,VENTAS!$K$5:$K$504,"Efectivo"))</f>
        <v/>
      </c>
      <c r="D153" s="32">
        <f>IF($A153="","",SUMIFS(VENTAS!$F$5:$F$504,VENTAS!$A$5:$A$504,$A153,VENTAS!$K$5:$K$504,"Transferencia"))</f>
        <v/>
      </c>
      <c r="E153" s="32">
        <f>IF($A153="","",SUMIFS(VENTAS!$F$5:$F$504,VENTAS!$A$5:$A$504,$A153,VENTAS!$K$5:$K$504,"PayPhone")+SUMIFS(VENTAS!$F$5:$F$504,VENTAS!$A$5:$A$504,$A153,VENTAS!$K$5:$K$504,"Tarjeta"))</f>
        <v/>
      </c>
      <c r="F153" s="32">
        <f>IF($A153="","",SUMIFS(GASTOS!$E$5:$E$304,GASTOS!$A$5:$A$304,$A153,GASTOS!$G$5:$G$304,"Efectivo",GASTOS!$H$5:$H$304,"SI"))</f>
        <v/>
      </c>
      <c r="G153" s="31" t="n"/>
      <c r="H153" s="17">
        <f>IF($A153="","",$B153+$C153-$F153-N($G153))</f>
        <v/>
      </c>
      <c r="I153" s="31" t="n"/>
      <c r="J153" s="30">
        <f>IF($A153="","",IF($I153="","",$I153-$H153))</f>
        <v/>
      </c>
    </row>
    <row r="154">
      <c r="A154" s="26" t="n"/>
      <c r="B154" s="31" t="n"/>
      <c r="C154" s="32">
        <f>IF($A154="","",SUMIFS(VENTAS!$F$5:$F$504,VENTAS!$A$5:$A$504,$A154,VENTAS!$K$5:$K$504,"Efectivo"))</f>
        <v/>
      </c>
      <c r="D154" s="32">
        <f>IF($A154="","",SUMIFS(VENTAS!$F$5:$F$504,VENTAS!$A$5:$A$504,$A154,VENTAS!$K$5:$K$504,"Transferencia"))</f>
        <v/>
      </c>
      <c r="E154" s="32">
        <f>IF($A154="","",SUMIFS(VENTAS!$F$5:$F$504,VENTAS!$A$5:$A$504,$A154,VENTAS!$K$5:$K$504,"PayPhone")+SUMIFS(VENTAS!$F$5:$F$504,VENTAS!$A$5:$A$504,$A154,VENTAS!$K$5:$K$504,"Tarjeta"))</f>
        <v/>
      </c>
      <c r="F154" s="32">
        <f>IF($A154="","",SUMIFS(GASTOS!$E$5:$E$304,GASTOS!$A$5:$A$304,$A154,GASTOS!$G$5:$G$304,"Efectivo",GASTOS!$H$5:$H$304,"SI"))</f>
        <v/>
      </c>
      <c r="G154" s="31" t="n"/>
      <c r="H154" s="17">
        <f>IF($A154="","",$B154+$C154-$F154-N($G154))</f>
        <v/>
      </c>
      <c r="I154" s="31" t="n"/>
      <c r="J154" s="30">
        <f>IF($A154="","",IF($I154="","",$I154-$H154))</f>
        <v/>
      </c>
    </row>
    <row r="155">
      <c r="A155" s="26" t="n"/>
      <c r="B155" s="31" t="n"/>
      <c r="C155" s="32">
        <f>IF($A155="","",SUMIFS(VENTAS!$F$5:$F$504,VENTAS!$A$5:$A$504,$A155,VENTAS!$K$5:$K$504,"Efectivo"))</f>
        <v/>
      </c>
      <c r="D155" s="32">
        <f>IF($A155="","",SUMIFS(VENTAS!$F$5:$F$504,VENTAS!$A$5:$A$504,$A155,VENTAS!$K$5:$K$504,"Transferencia"))</f>
        <v/>
      </c>
      <c r="E155" s="32">
        <f>IF($A155="","",SUMIFS(VENTAS!$F$5:$F$504,VENTAS!$A$5:$A$504,$A155,VENTAS!$K$5:$K$504,"PayPhone")+SUMIFS(VENTAS!$F$5:$F$504,VENTAS!$A$5:$A$504,$A155,VENTAS!$K$5:$K$504,"Tarjeta"))</f>
        <v/>
      </c>
      <c r="F155" s="32">
        <f>IF($A155="","",SUMIFS(GASTOS!$E$5:$E$304,GASTOS!$A$5:$A$304,$A155,GASTOS!$G$5:$G$304,"Efectivo",GASTOS!$H$5:$H$304,"SI"))</f>
        <v/>
      </c>
      <c r="G155" s="31" t="n"/>
      <c r="H155" s="17">
        <f>IF($A155="","",$B155+$C155-$F155-N($G155))</f>
        <v/>
      </c>
      <c r="I155" s="31" t="n"/>
      <c r="J155" s="30">
        <f>IF($A155="","",IF($I155="","",$I155-$H155))</f>
        <v/>
      </c>
    </row>
    <row r="156">
      <c r="A156" s="26" t="n"/>
      <c r="B156" s="31" t="n"/>
      <c r="C156" s="32">
        <f>IF($A156="","",SUMIFS(VENTAS!$F$5:$F$504,VENTAS!$A$5:$A$504,$A156,VENTAS!$K$5:$K$504,"Efectivo"))</f>
        <v/>
      </c>
      <c r="D156" s="32">
        <f>IF($A156="","",SUMIFS(VENTAS!$F$5:$F$504,VENTAS!$A$5:$A$504,$A156,VENTAS!$K$5:$K$504,"Transferencia"))</f>
        <v/>
      </c>
      <c r="E156" s="32">
        <f>IF($A156="","",SUMIFS(VENTAS!$F$5:$F$504,VENTAS!$A$5:$A$504,$A156,VENTAS!$K$5:$K$504,"PayPhone")+SUMIFS(VENTAS!$F$5:$F$504,VENTAS!$A$5:$A$504,$A156,VENTAS!$K$5:$K$504,"Tarjeta"))</f>
        <v/>
      </c>
      <c r="F156" s="32">
        <f>IF($A156="","",SUMIFS(GASTOS!$E$5:$E$304,GASTOS!$A$5:$A$304,$A156,GASTOS!$G$5:$G$304,"Efectivo",GASTOS!$H$5:$H$304,"SI"))</f>
        <v/>
      </c>
      <c r="G156" s="31" t="n"/>
      <c r="H156" s="17">
        <f>IF($A156="","",$B156+$C156-$F156-N($G156))</f>
        <v/>
      </c>
      <c r="I156" s="31" t="n"/>
      <c r="J156" s="30">
        <f>IF($A156="","",IF($I156="","",$I156-$H156))</f>
        <v/>
      </c>
    </row>
    <row r="157">
      <c r="A157" s="26" t="n"/>
      <c r="B157" s="31" t="n"/>
      <c r="C157" s="32">
        <f>IF($A157="","",SUMIFS(VENTAS!$F$5:$F$504,VENTAS!$A$5:$A$504,$A157,VENTAS!$K$5:$K$504,"Efectivo"))</f>
        <v/>
      </c>
      <c r="D157" s="32">
        <f>IF($A157="","",SUMIFS(VENTAS!$F$5:$F$504,VENTAS!$A$5:$A$504,$A157,VENTAS!$K$5:$K$504,"Transferencia"))</f>
        <v/>
      </c>
      <c r="E157" s="32">
        <f>IF($A157="","",SUMIFS(VENTAS!$F$5:$F$504,VENTAS!$A$5:$A$504,$A157,VENTAS!$K$5:$K$504,"PayPhone")+SUMIFS(VENTAS!$F$5:$F$504,VENTAS!$A$5:$A$504,$A157,VENTAS!$K$5:$K$504,"Tarjeta"))</f>
        <v/>
      </c>
      <c r="F157" s="32">
        <f>IF($A157="","",SUMIFS(GASTOS!$E$5:$E$304,GASTOS!$A$5:$A$304,$A157,GASTOS!$G$5:$G$304,"Efectivo",GASTOS!$H$5:$H$304,"SI"))</f>
        <v/>
      </c>
      <c r="G157" s="31" t="n"/>
      <c r="H157" s="17">
        <f>IF($A157="","",$B157+$C157-$F157-N($G157))</f>
        <v/>
      </c>
      <c r="I157" s="31" t="n"/>
      <c r="J157" s="30">
        <f>IF($A157="","",IF($I157="","",$I157-$H157))</f>
        <v/>
      </c>
    </row>
    <row r="158">
      <c r="A158" s="26" t="n"/>
      <c r="B158" s="31" t="n"/>
      <c r="C158" s="32">
        <f>IF($A158="","",SUMIFS(VENTAS!$F$5:$F$504,VENTAS!$A$5:$A$504,$A158,VENTAS!$K$5:$K$504,"Efectivo"))</f>
        <v/>
      </c>
      <c r="D158" s="32">
        <f>IF($A158="","",SUMIFS(VENTAS!$F$5:$F$504,VENTAS!$A$5:$A$504,$A158,VENTAS!$K$5:$K$504,"Transferencia"))</f>
        <v/>
      </c>
      <c r="E158" s="32">
        <f>IF($A158="","",SUMIFS(VENTAS!$F$5:$F$504,VENTAS!$A$5:$A$504,$A158,VENTAS!$K$5:$K$504,"PayPhone")+SUMIFS(VENTAS!$F$5:$F$504,VENTAS!$A$5:$A$504,$A158,VENTAS!$K$5:$K$504,"Tarjeta"))</f>
        <v/>
      </c>
      <c r="F158" s="32">
        <f>IF($A158="","",SUMIFS(GASTOS!$E$5:$E$304,GASTOS!$A$5:$A$304,$A158,GASTOS!$G$5:$G$304,"Efectivo",GASTOS!$H$5:$H$304,"SI"))</f>
        <v/>
      </c>
      <c r="G158" s="31" t="n"/>
      <c r="H158" s="17">
        <f>IF($A158="","",$B158+$C158-$F158-N($G158))</f>
        <v/>
      </c>
      <c r="I158" s="31" t="n"/>
      <c r="J158" s="30">
        <f>IF($A158="","",IF($I158="","",$I158-$H158))</f>
        <v/>
      </c>
    </row>
    <row r="159">
      <c r="A159" s="26" t="n"/>
      <c r="B159" s="31" t="n"/>
      <c r="C159" s="32">
        <f>IF($A159="","",SUMIFS(VENTAS!$F$5:$F$504,VENTAS!$A$5:$A$504,$A159,VENTAS!$K$5:$K$504,"Efectivo"))</f>
        <v/>
      </c>
      <c r="D159" s="32">
        <f>IF($A159="","",SUMIFS(VENTAS!$F$5:$F$504,VENTAS!$A$5:$A$504,$A159,VENTAS!$K$5:$K$504,"Transferencia"))</f>
        <v/>
      </c>
      <c r="E159" s="32">
        <f>IF($A159="","",SUMIFS(VENTAS!$F$5:$F$504,VENTAS!$A$5:$A$504,$A159,VENTAS!$K$5:$K$504,"PayPhone")+SUMIFS(VENTAS!$F$5:$F$504,VENTAS!$A$5:$A$504,$A159,VENTAS!$K$5:$K$504,"Tarjeta"))</f>
        <v/>
      </c>
      <c r="F159" s="32">
        <f>IF($A159="","",SUMIFS(GASTOS!$E$5:$E$304,GASTOS!$A$5:$A$304,$A159,GASTOS!$G$5:$G$304,"Efectivo",GASTOS!$H$5:$H$304,"SI"))</f>
        <v/>
      </c>
      <c r="G159" s="31" t="n"/>
      <c r="H159" s="17">
        <f>IF($A159="","",$B159+$C159-$F159-N($G159))</f>
        <v/>
      </c>
      <c r="I159" s="31" t="n"/>
      <c r="J159" s="30">
        <f>IF($A159="","",IF($I159="","",$I159-$H159))</f>
        <v/>
      </c>
    </row>
    <row r="160">
      <c r="A160" s="26" t="n"/>
      <c r="B160" s="31" t="n"/>
      <c r="C160" s="32">
        <f>IF($A160="","",SUMIFS(VENTAS!$F$5:$F$504,VENTAS!$A$5:$A$504,$A160,VENTAS!$K$5:$K$504,"Efectivo"))</f>
        <v/>
      </c>
      <c r="D160" s="32">
        <f>IF($A160="","",SUMIFS(VENTAS!$F$5:$F$504,VENTAS!$A$5:$A$504,$A160,VENTAS!$K$5:$K$504,"Transferencia"))</f>
        <v/>
      </c>
      <c r="E160" s="32">
        <f>IF($A160="","",SUMIFS(VENTAS!$F$5:$F$504,VENTAS!$A$5:$A$504,$A160,VENTAS!$K$5:$K$504,"PayPhone")+SUMIFS(VENTAS!$F$5:$F$504,VENTAS!$A$5:$A$504,$A160,VENTAS!$K$5:$K$504,"Tarjeta"))</f>
        <v/>
      </c>
      <c r="F160" s="32">
        <f>IF($A160="","",SUMIFS(GASTOS!$E$5:$E$304,GASTOS!$A$5:$A$304,$A160,GASTOS!$G$5:$G$304,"Efectivo",GASTOS!$H$5:$H$304,"SI"))</f>
        <v/>
      </c>
      <c r="G160" s="31" t="n"/>
      <c r="H160" s="17">
        <f>IF($A160="","",$B160+$C160-$F160-N($G160))</f>
        <v/>
      </c>
      <c r="I160" s="31" t="n"/>
      <c r="J160" s="30">
        <f>IF($A160="","",IF($I160="","",$I160-$H160))</f>
        <v/>
      </c>
    </row>
    <row r="161">
      <c r="A161" s="26" t="n"/>
      <c r="B161" s="31" t="n"/>
      <c r="C161" s="32">
        <f>IF($A161="","",SUMIFS(VENTAS!$F$5:$F$504,VENTAS!$A$5:$A$504,$A161,VENTAS!$K$5:$K$504,"Efectivo"))</f>
        <v/>
      </c>
      <c r="D161" s="32">
        <f>IF($A161="","",SUMIFS(VENTAS!$F$5:$F$504,VENTAS!$A$5:$A$504,$A161,VENTAS!$K$5:$K$504,"Transferencia"))</f>
        <v/>
      </c>
      <c r="E161" s="32">
        <f>IF($A161="","",SUMIFS(VENTAS!$F$5:$F$504,VENTAS!$A$5:$A$504,$A161,VENTAS!$K$5:$K$504,"PayPhone")+SUMIFS(VENTAS!$F$5:$F$504,VENTAS!$A$5:$A$504,$A161,VENTAS!$K$5:$K$504,"Tarjeta"))</f>
        <v/>
      </c>
      <c r="F161" s="32">
        <f>IF($A161="","",SUMIFS(GASTOS!$E$5:$E$304,GASTOS!$A$5:$A$304,$A161,GASTOS!$G$5:$G$304,"Efectivo",GASTOS!$H$5:$H$304,"SI"))</f>
        <v/>
      </c>
      <c r="G161" s="31" t="n"/>
      <c r="H161" s="17">
        <f>IF($A161="","",$B161+$C161-$F161-N($G161))</f>
        <v/>
      </c>
      <c r="I161" s="31" t="n"/>
      <c r="J161" s="30">
        <f>IF($A161="","",IF($I161="","",$I161-$H161))</f>
        <v/>
      </c>
    </row>
    <row r="162">
      <c r="A162" s="26" t="n"/>
      <c r="B162" s="31" t="n"/>
      <c r="C162" s="32">
        <f>IF($A162="","",SUMIFS(VENTAS!$F$5:$F$504,VENTAS!$A$5:$A$504,$A162,VENTAS!$K$5:$K$504,"Efectivo"))</f>
        <v/>
      </c>
      <c r="D162" s="32">
        <f>IF($A162="","",SUMIFS(VENTAS!$F$5:$F$504,VENTAS!$A$5:$A$504,$A162,VENTAS!$K$5:$K$504,"Transferencia"))</f>
        <v/>
      </c>
      <c r="E162" s="32">
        <f>IF($A162="","",SUMIFS(VENTAS!$F$5:$F$504,VENTAS!$A$5:$A$504,$A162,VENTAS!$K$5:$K$504,"PayPhone")+SUMIFS(VENTAS!$F$5:$F$504,VENTAS!$A$5:$A$504,$A162,VENTAS!$K$5:$K$504,"Tarjeta"))</f>
        <v/>
      </c>
      <c r="F162" s="32">
        <f>IF($A162="","",SUMIFS(GASTOS!$E$5:$E$304,GASTOS!$A$5:$A$304,$A162,GASTOS!$G$5:$G$304,"Efectivo",GASTOS!$H$5:$H$304,"SI"))</f>
        <v/>
      </c>
      <c r="G162" s="31" t="n"/>
      <c r="H162" s="17">
        <f>IF($A162="","",$B162+$C162-$F162-N($G162))</f>
        <v/>
      </c>
      <c r="I162" s="31" t="n"/>
      <c r="J162" s="30">
        <f>IF($A162="","",IF($I162="","",$I162-$H162))</f>
        <v/>
      </c>
    </row>
    <row r="163">
      <c r="A163" s="26" t="n"/>
      <c r="B163" s="31" t="n"/>
      <c r="C163" s="32">
        <f>IF($A163="","",SUMIFS(VENTAS!$F$5:$F$504,VENTAS!$A$5:$A$504,$A163,VENTAS!$K$5:$K$504,"Efectivo"))</f>
        <v/>
      </c>
      <c r="D163" s="32">
        <f>IF($A163="","",SUMIFS(VENTAS!$F$5:$F$504,VENTAS!$A$5:$A$504,$A163,VENTAS!$K$5:$K$504,"Transferencia"))</f>
        <v/>
      </c>
      <c r="E163" s="32">
        <f>IF($A163="","",SUMIFS(VENTAS!$F$5:$F$504,VENTAS!$A$5:$A$504,$A163,VENTAS!$K$5:$K$504,"PayPhone")+SUMIFS(VENTAS!$F$5:$F$504,VENTAS!$A$5:$A$504,$A163,VENTAS!$K$5:$K$504,"Tarjeta"))</f>
        <v/>
      </c>
      <c r="F163" s="32">
        <f>IF($A163="","",SUMIFS(GASTOS!$E$5:$E$304,GASTOS!$A$5:$A$304,$A163,GASTOS!$G$5:$G$304,"Efectivo",GASTOS!$H$5:$H$304,"SI"))</f>
        <v/>
      </c>
      <c r="G163" s="31" t="n"/>
      <c r="H163" s="17">
        <f>IF($A163="","",$B163+$C163-$F163-N($G163))</f>
        <v/>
      </c>
      <c r="I163" s="31" t="n"/>
      <c r="J163" s="30">
        <f>IF($A163="","",IF($I163="","",$I163-$H163))</f>
        <v/>
      </c>
    </row>
    <row r="164">
      <c r="A164" s="26" t="n"/>
      <c r="B164" s="31" t="n"/>
      <c r="C164" s="32">
        <f>IF($A164="","",SUMIFS(VENTAS!$F$5:$F$504,VENTAS!$A$5:$A$504,$A164,VENTAS!$K$5:$K$504,"Efectivo"))</f>
        <v/>
      </c>
      <c r="D164" s="32">
        <f>IF($A164="","",SUMIFS(VENTAS!$F$5:$F$504,VENTAS!$A$5:$A$504,$A164,VENTAS!$K$5:$K$504,"Transferencia"))</f>
        <v/>
      </c>
      <c r="E164" s="32">
        <f>IF($A164="","",SUMIFS(VENTAS!$F$5:$F$504,VENTAS!$A$5:$A$504,$A164,VENTAS!$K$5:$K$504,"PayPhone")+SUMIFS(VENTAS!$F$5:$F$504,VENTAS!$A$5:$A$504,$A164,VENTAS!$K$5:$K$504,"Tarjeta"))</f>
        <v/>
      </c>
      <c r="F164" s="32">
        <f>IF($A164="","",SUMIFS(GASTOS!$E$5:$E$304,GASTOS!$A$5:$A$304,$A164,GASTOS!$G$5:$G$304,"Efectivo",GASTOS!$H$5:$H$304,"SI"))</f>
        <v/>
      </c>
      <c r="G164" s="31" t="n"/>
      <c r="H164" s="17">
        <f>IF($A164="","",$B164+$C164-$F164-N($G164))</f>
        <v/>
      </c>
      <c r="I164" s="31" t="n"/>
      <c r="J164" s="30">
        <f>IF($A164="","",IF($I164="","",$I164-$H164))</f>
        <v/>
      </c>
    </row>
    <row r="165">
      <c r="A165" s="26" t="n"/>
      <c r="B165" s="31" t="n"/>
      <c r="C165" s="32">
        <f>IF($A165="","",SUMIFS(VENTAS!$F$5:$F$504,VENTAS!$A$5:$A$504,$A165,VENTAS!$K$5:$K$504,"Efectivo"))</f>
        <v/>
      </c>
      <c r="D165" s="32">
        <f>IF($A165="","",SUMIFS(VENTAS!$F$5:$F$504,VENTAS!$A$5:$A$504,$A165,VENTAS!$K$5:$K$504,"Transferencia"))</f>
        <v/>
      </c>
      <c r="E165" s="32">
        <f>IF($A165="","",SUMIFS(VENTAS!$F$5:$F$504,VENTAS!$A$5:$A$504,$A165,VENTAS!$K$5:$K$504,"PayPhone")+SUMIFS(VENTAS!$F$5:$F$504,VENTAS!$A$5:$A$504,$A165,VENTAS!$K$5:$K$504,"Tarjeta"))</f>
        <v/>
      </c>
      <c r="F165" s="32">
        <f>IF($A165="","",SUMIFS(GASTOS!$E$5:$E$304,GASTOS!$A$5:$A$304,$A165,GASTOS!$G$5:$G$304,"Efectivo",GASTOS!$H$5:$H$304,"SI"))</f>
        <v/>
      </c>
      <c r="G165" s="31" t="n"/>
      <c r="H165" s="17">
        <f>IF($A165="","",$B165+$C165-$F165-N($G165))</f>
        <v/>
      </c>
      <c r="I165" s="31" t="n"/>
      <c r="J165" s="30">
        <f>IF($A165="","",IF($I165="","",$I165-$H165))</f>
        <v/>
      </c>
    </row>
    <row r="166">
      <c r="A166" s="26" t="n"/>
      <c r="B166" s="31" t="n"/>
      <c r="C166" s="32">
        <f>IF($A166="","",SUMIFS(VENTAS!$F$5:$F$504,VENTAS!$A$5:$A$504,$A166,VENTAS!$K$5:$K$504,"Efectivo"))</f>
        <v/>
      </c>
      <c r="D166" s="32">
        <f>IF($A166="","",SUMIFS(VENTAS!$F$5:$F$504,VENTAS!$A$5:$A$504,$A166,VENTAS!$K$5:$K$504,"Transferencia"))</f>
        <v/>
      </c>
      <c r="E166" s="32">
        <f>IF($A166="","",SUMIFS(VENTAS!$F$5:$F$504,VENTAS!$A$5:$A$504,$A166,VENTAS!$K$5:$K$504,"PayPhone")+SUMIFS(VENTAS!$F$5:$F$504,VENTAS!$A$5:$A$504,$A166,VENTAS!$K$5:$K$504,"Tarjeta"))</f>
        <v/>
      </c>
      <c r="F166" s="32">
        <f>IF($A166="","",SUMIFS(GASTOS!$E$5:$E$304,GASTOS!$A$5:$A$304,$A166,GASTOS!$G$5:$G$304,"Efectivo",GASTOS!$H$5:$H$304,"SI"))</f>
        <v/>
      </c>
      <c r="G166" s="31" t="n"/>
      <c r="H166" s="17">
        <f>IF($A166="","",$B166+$C166-$F166-N($G166))</f>
        <v/>
      </c>
      <c r="I166" s="31" t="n"/>
      <c r="J166" s="30">
        <f>IF($A166="","",IF($I166="","",$I166-$H166))</f>
        <v/>
      </c>
    </row>
    <row r="167">
      <c r="A167" s="26" t="n"/>
      <c r="B167" s="31" t="n"/>
      <c r="C167" s="32">
        <f>IF($A167="","",SUMIFS(VENTAS!$F$5:$F$504,VENTAS!$A$5:$A$504,$A167,VENTAS!$K$5:$K$504,"Efectivo"))</f>
        <v/>
      </c>
      <c r="D167" s="32">
        <f>IF($A167="","",SUMIFS(VENTAS!$F$5:$F$504,VENTAS!$A$5:$A$504,$A167,VENTAS!$K$5:$K$504,"Transferencia"))</f>
        <v/>
      </c>
      <c r="E167" s="32">
        <f>IF($A167="","",SUMIFS(VENTAS!$F$5:$F$504,VENTAS!$A$5:$A$504,$A167,VENTAS!$K$5:$K$504,"PayPhone")+SUMIFS(VENTAS!$F$5:$F$504,VENTAS!$A$5:$A$504,$A167,VENTAS!$K$5:$K$504,"Tarjeta"))</f>
        <v/>
      </c>
      <c r="F167" s="32">
        <f>IF($A167="","",SUMIFS(GASTOS!$E$5:$E$304,GASTOS!$A$5:$A$304,$A167,GASTOS!$G$5:$G$304,"Efectivo",GASTOS!$H$5:$H$304,"SI"))</f>
        <v/>
      </c>
      <c r="G167" s="31" t="n"/>
      <c r="H167" s="17">
        <f>IF($A167="","",$B167+$C167-$F167-N($G167))</f>
        <v/>
      </c>
      <c r="I167" s="31" t="n"/>
      <c r="J167" s="30">
        <f>IF($A167="","",IF($I167="","",$I167-$H167))</f>
        <v/>
      </c>
    </row>
    <row r="168">
      <c r="A168" s="26" t="n"/>
      <c r="B168" s="31" t="n"/>
      <c r="C168" s="32">
        <f>IF($A168="","",SUMIFS(VENTAS!$F$5:$F$504,VENTAS!$A$5:$A$504,$A168,VENTAS!$K$5:$K$504,"Efectivo"))</f>
        <v/>
      </c>
      <c r="D168" s="32">
        <f>IF($A168="","",SUMIFS(VENTAS!$F$5:$F$504,VENTAS!$A$5:$A$504,$A168,VENTAS!$K$5:$K$504,"Transferencia"))</f>
        <v/>
      </c>
      <c r="E168" s="32">
        <f>IF($A168="","",SUMIFS(VENTAS!$F$5:$F$504,VENTAS!$A$5:$A$504,$A168,VENTAS!$K$5:$K$504,"PayPhone")+SUMIFS(VENTAS!$F$5:$F$504,VENTAS!$A$5:$A$504,$A168,VENTAS!$K$5:$K$504,"Tarjeta"))</f>
        <v/>
      </c>
      <c r="F168" s="32">
        <f>IF($A168="","",SUMIFS(GASTOS!$E$5:$E$304,GASTOS!$A$5:$A$304,$A168,GASTOS!$G$5:$G$304,"Efectivo",GASTOS!$H$5:$H$304,"SI"))</f>
        <v/>
      </c>
      <c r="G168" s="31" t="n"/>
      <c r="H168" s="17">
        <f>IF($A168="","",$B168+$C168-$F168-N($G168))</f>
        <v/>
      </c>
      <c r="I168" s="31" t="n"/>
      <c r="J168" s="30">
        <f>IF($A168="","",IF($I168="","",$I168-$H168))</f>
        <v/>
      </c>
    </row>
    <row r="169">
      <c r="A169" s="26" t="n"/>
      <c r="B169" s="31" t="n"/>
      <c r="C169" s="32">
        <f>IF($A169="","",SUMIFS(VENTAS!$F$5:$F$504,VENTAS!$A$5:$A$504,$A169,VENTAS!$K$5:$K$504,"Efectivo"))</f>
        <v/>
      </c>
      <c r="D169" s="32">
        <f>IF($A169="","",SUMIFS(VENTAS!$F$5:$F$504,VENTAS!$A$5:$A$504,$A169,VENTAS!$K$5:$K$504,"Transferencia"))</f>
        <v/>
      </c>
      <c r="E169" s="32">
        <f>IF($A169="","",SUMIFS(VENTAS!$F$5:$F$504,VENTAS!$A$5:$A$504,$A169,VENTAS!$K$5:$K$504,"PayPhone")+SUMIFS(VENTAS!$F$5:$F$504,VENTAS!$A$5:$A$504,$A169,VENTAS!$K$5:$K$504,"Tarjeta"))</f>
        <v/>
      </c>
      <c r="F169" s="32">
        <f>IF($A169="","",SUMIFS(GASTOS!$E$5:$E$304,GASTOS!$A$5:$A$304,$A169,GASTOS!$G$5:$G$304,"Efectivo",GASTOS!$H$5:$H$304,"SI"))</f>
        <v/>
      </c>
      <c r="G169" s="31" t="n"/>
      <c r="H169" s="17">
        <f>IF($A169="","",$B169+$C169-$F169-N($G169))</f>
        <v/>
      </c>
      <c r="I169" s="31" t="n"/>
      <c r="J169" s="30">
        <f>IF($A169="","",IF($I169="","",$I169-$H169))</f>
        <v/>
      </c>
    </row>
    <row r="170">
      <c r="A170" s="26" t="n"/>
      <c r="B170" s="31" t="n"/>
      <c r="C170" s="32">
        <f>IF($A170="","",SUMIFS(VENTAS!$F$5:$F$504,VENTAS!$A$5:$A$504,$A170,VENTAS!$K$5:$K$504,"Efectivo"))</f>
        <v/>
      </c>
      <c r="D170" s="32">
        <f>IF($A170="","",SUMIFS(VENTAS!$F$5:$F$504,VENTAS!$A$5:$A$504,$A170,VENTAS!$K$5:$K$504,"Transferencia"))</f>
        <v/>
      </c>
      <c r="E170" s="32">
        <f>IF($A170="","",SUMIFS(VENTAS!$F$5:$F$504,VENTAS!$A$5:$A$504,$A170,VENTAS!$K$5:$K$504,"PayPhone")+SUMIFS(VENTAS!$F$5:$F$504,VENTAS!$A$5:$A$504,$A170,VENTAS!$K$5:$K$504,"Tarjeta"))</f>
        <v/>
      </c>
      <c r="F170" s="32">
        <f>IF($A170="","",SUMIFS(GASTOS!$E$5:$E$304,GASTOS!$A$5:$A$304,$A170,GASTOS!$G$5:$G$304,"Efectivo",GASTOS!$H$5:$H$304,"SI"))</f>
        <v/>
      </c>
      <c r="G170" s="31" t="n"/>
      <c r="H170" s="17">
        <f>IF($A170="","",$B170+$C170-$F170-N($G170))</f>
        <v/>
      </c>
      <c r="I170" s="31" t="n"/>
      <c r="J170" s="30">
        <f>IF($A170="","",IF($I170="","",$I170-$H170))</f>
        <v/>
      </c>
    </row>
    <row r="171">
      <c r="A171" s="26" t="n"/>
      <c r="B171" s="31" t="n"/>
      <c r="C171" s="32">
        <f>IF($A171="","",SUMIFS(VENTAS!$F$5:$F$504,VENTAS!$A$5:$A$504,$A171,VENTAS!$K$5:$K$504,"Efectivo"))</f>
        <v/>
      </c>
      <c r="D171" s="32">
        <f>IF($A171="","",SUMIFS(VENTAS!$F$5:$F$504,VENTAS!$A$5:$A$504,$A171,VENTAS!$K$5:$K$504,"Transferencia"))</f>
        <v/>
      </c>
      <c r="E171" s="32">
        <f>IF($A171="","",SUMIFS(VENTAS!$F$5:$F$504,VENTAS!$A$5:$A$504,$A171,VENTAS!$K$5:$K$504,"PayPhone")+SUMIFS(VENTAS!$F$5:$F$504,VENTAS!$A$5:$A$504,$A171,VENTAS!$K$5:$K$504,"Tarjeta"))</f>
        <v/>
      </c>
      <c r="F171" s="32">
        <f>IF($A171="","",SUMIFS(GASTOS!$E$5:$E$304,GASTOS!$A$5:$A$304,$A171,GASTOS!$G$5:$G$304,"Efectivo",GASTOS!$H$5:$H$304,"SI"))</f>
        <v/>
      </c>
      <c r="G171" s="31" t="n"/>
      <c r="H171" s="17">
        <f>IF($A171="","",$B171+$C171-$F171-N($G171))</f>
        <v/>
      </c>
      <c r="I171" s="31" t="n"/>
      <c r="J171" s="30">
        <f>IF($A171="","",IF($I171="","",$I171-$H171))</f>
        <v/>
      </c>
    </row>
    <row r="172">
      <c r="A172" s="26" t="n"/>
      <c r="B172" s="31" t="n"/>
      <c r="C172" s="32">
        <f>IF($A172="","",SUMIFS(VENTAS!$F$5:$F$504,VENTAS!$A$5:$A$504,$A172,VENTAS!$K$5:$K$504,"Efectivo"))</f>
        <v/>
      </c>
      <c r="D172" s="32">
        <f>IF($A172="","",SUMIFS(VENTAS!$F$5:$F$504,VENTAS!$A$5:$A$504,$A172,VENTAS!$K$5:$K$504,"Transferencia"))</f>
        <v/>
      </c>
      <c r="E172" s="32">
        <f>IF($A172="","",SUMIFS(VENTAS!$F$5:$F$504,VENTAS!$A$5:$A$504,$A172,VENTAS!$K$5:$K$504,"PayPhone")+SUMIFS(VENTAS!$F$5:$F$504,VENTAS!$A$5:$A$504,$A172,VENTAS!$K$5:$K$504,"Tarjeta"))</f>
        <v/>
      </c>
      <c r="F172" s="32">
        <f>IF($A172="","",SUMIFS(GASTOS!$E$5:$E$304,GASTOS!$A$5:$A$304,$A172,GASTOS!$G$5:$G$304,"Efectivo",GASTOS!$H$5:$H$304,"SI"))</f>
        <v/>
      </c>
      <c r="G172" s="31" t="n"/>
      <c r="H172" s="17">
        <f>IF($A172="","",$B172+$C172-$F172-N($G172))</f>
        <v/>
      </c>
      <c r="I172" s="31" t="n"/>
      <c r="J172" s="30">
        <f>IF($A172="","",IF($I172="","",$I172-$H172))</f>
        <v/>
      </c>
    </row>
    <row r="173">
      <c r="A173" s="26" t="n"/>
      <c r="B173" s="31" t="n"/>
      <c r="C173" s="32">
        <f>IF($A173="","",SUMIFS(VENTAS!$F$5:$F$504,VENTAS!$A$5:$A$504,$A173,VENTAS!$K$5:$K$504,"Efectivo"))</f>
        <v/>
      </c>
      <c r="D173" s="32">
        <f>IF($A173="","",SUMIFS(VENTAS!$F$5:$F$504,VENTAS!$A$5:$A$504,$A173,VENTAS!$K$5:$K$504,"Transferencia"))</f>
        <v/>
      </c>
      <c r="E173" s="32">
        <f>IF($A173="","",SUMIFS(VENTAS!$F$5:$F$504,VENTAS!$A$5:$A$504,$A173,VENTAS!$K$5:$K$504,"PayPhone")+SUMIFS(VENTAS!$F$5:$F$504,VENTAS!$A$5:$A$504,$A173,VENTAS!$K$5:$K$504,"Tarjeta"))</f>
        <v/>
      </c>
      <c r="F173" s="32">
        <f>IF($A173="","",SUMIFS(GASTOS!$E$5:$E$304,GASTOS!$A$5:$A$304,$A173,GASTOS!$G$5:$G$304,"Efectivo",GASTOS!$H$5:$H$304,"SI"))</f>
        <v/>
      </c>
      <c r="G173" s="31" t="n"/>
      <c r="H173" s="17">
        <f>IF($A173="","",$B173+$C173-$F173-N($G173))</f>
        <v/>
      </c>
      <c r="I173" s="31" t="n"/>
      <c r="J173" s="30">
        <f>IF($A173="","",IF($I173="","",$I173-$H173))</f>
        <v/>
      </c>
    </row>
    <row r="174">
      <c r="A174" s="26" t="n"/>
      <c r="B174" s="31" t="n"/>
      <c r="C174" s="32">
        <f>IF($A174="","",SUMIFS(VENTAS!$F$5:$F$504,VENTAS!$A$5:$A$504,$A174,VENTAS!$K$5:$K$504,"Efectivo"))</f>
        <v/>
      </c>
      <c r="D174" s="32">
        <f>IF($A174="","",SUMIFS(VENTAS!$F$5:$F$504,VENTAS!$A$5:$A$504,$A174,VENTAS!$K$5:$K$504,"Transferencia"))</f>
        <v/>
      </c>
      <c r="E174" s="32">
        <f>IF($A174="","",SUMIFS(VENTAS!$F$5:$F$504,VENTAS!$A$5:$A$504,$A174,VENTAS!$K$5:$K$504,"PayPhone")+SUMIFS(VENTAS!$F$5:$F$504,VENTAS!$A$5:$A$504,$A174,VENTAS!$K$5:$K$504,"Tarjeta"))</f>
        <v/>
      </c>
      <c r="F174" s="32">
        <f>IF($A174="","",SUMIFS(GASTOS!$E$5:$E$304,GASTOS!$A$5:$A$304,$A174,GASTOS!$G$5:$G$304,"Efectivo",GASTOS!$H$5:$H$304,"SI"))</f>
        <v/>
      </c>
      <c r="G174" s="31" t="n"/>
      <c r="H174" s="17">
        <f>IF($A174="","",$B174+$C174-$F174-N($G174))</f>
        <v/>
      </c>
      <c r="I174" s="31" t="n"/>
      <c r="J174" s="30">
        <f>IF($A174="","",IF($I174="","",$I174-$H174))</f>
        <v/>
      </c>
    </row>
    <row r="175">
      <c r="A175" s="26" t="n"/>
      <c r="B175" s="31" t="n"/>
      <c r="C175" s="32">
        <f>IF($A175="","",SUMIFS(VENTAS!$F$5:$F$504,VENTAS!$A$5:$A$504,$A175,VENTAS!$K$5:$K$504,"Efectivo"))</f>
        <v/>
      </c>
      <c r="D175" s="32">
        <f>IF($A175="","",SUMIFS(VENTAS!$F$5:$F$504,VENTAS!$A$5:$A$504,$A175,VENTAS!$K$5:$K$504,"Transferencia"))</f>
        <v/>
      </c>
      <c r="E175" s="32">
        <f>IF($A175="","",SUMIFS(VENTAS!$F$5:$F$504,VENTAS!$A$5:$A$504,$A175,VENTAS!$K$5:$K$504,"PayPhone")+SUMIFS(VENTAS!$F$5:$F$504,VENTAS!$A$5:$A$504,$A175,VENTAS!$K$5:$K$504,"Tarjeta"))</f>
        <v/>
      </c>
      <c r="F175" s="32">
        <f>IF($A175="","",SUMIFS(GASTOS!$E$5:$E$304,GASTOS!$A$5:$A$304,$A175,GASTOS!$G$5:$G$304,"Efectivo",GASTOS!$H$5:$H$304,"SI"))</f>
        <v/>
      </c>
      <c r="G175" s="31" t="n"/>
      <c r="H175" s="17">
        <f>IF($A175="","",$B175+$C175-$F175-N($G175))</f>
        <v/>
      </c>
      <c r="I175" s="31" t="n"/>
      <c r="J175" s="30">
        <f>IF($A175="","",IF($I175="","",$I175-$H175))</f>
        <v/>
      </c>
    </row>
    <row r="176">
      <c r="A176" s="26" t="n"/>
      <c r="B176" s="31" t="n"/>
      <c r="C176" s="32">
        <f>IF($A176="","",SUMIFS(VENTAS!$F$5:$F$504,VENTAS!$A$5:$A$504,$A176,VENTAS!$K$5:$K$504,"Efectivo"))</f>
        <v/>
      </c>
      <c r="D176" s="32">
        <f>IF($A176="","",SUMIFS(VENTAS!$F$5:$F$504,VENTAS!$A$5:$A$504,$A176,VENTAS!$K$5:$K$504,"Transferencia"))</f>
        <v/>
      </c>
      <c r="E176" s="32">
        <f>IF($A176="","",SUMIFS(VENTAS!$F$5:$F$504,VENTAS!$A$5:$A$504,$A176,VENTAS!$K$5:$K$504,"PayPhone")+SUMIFS(VENTAS!$F$5:$F$504,VENTAS!$A$5:$A$504,$A176,VENTAS!$K$5:$K$504,"Tarjeta"))</f>
        <v/>
      </c>
      <c r="F176" s="32">
        <f>IF($A176="","",SUMIFS(GASTOS!$E$5:$E$304,GASTOS!$A$5:$A$304,$A176,GASTOS!$G$5:$G$304,"Efectivo",GASTOS!$H$5:$H$304,"SI"))</f>
        <v/>
      </c>
      <c r="G176" s="31" t="n"/>
      <c r="H176" s="17">
        <f>IF($A176="","",$B176+$C176-$F176-N($G176))</f>
        <v/>
      </c>
      <c r="I176" s="31" t="n"/>
      <c r="J176" s="30">
        <f>IF($A176="","",IF($I176="","",$I176-$H176))</f>
        <v/>
      </c>
    </row>
    <row r="177">
      <c r="A177" s="26" t="n"/>
      <c r="B177" s="31" t="n"/>
      <c r="C177" s="32">
        <f>IF($A177="","",SUMIFS(VENTAS!$F$5:$F$504,VENTAS!$A$5:$A$504,$A177,VENTAS!$K$5:$K$504,"Efectivo"))</f>
        <v/>
      </c>
      <c r="D177" s="32">
        <f>IF($A177="","",SUMIFS(VENTAS!$F$5:$F$504,VENTAS!$A$5:$A$504,$A177,VENTAS!$K$5:$K$504,"Transferencia"))</f>
        <v/>
      </c>
      <c r="E177" s="32">
        <f>IF($A177="","",SUMIFS(VENTAS!$F$5:$F$504,VENTAS!$A$5:$A$504,$A177,VENTAS!$K$5:$K$504,"PayPhone")+SUMIFS(VENTAS!$F$5:$F$504,VENTAS!$A$5:$A$504,$A177,VENTAS!$K$5:$K$504,"Tarjeta"))</f>
        <v/>
      </c>
      <c r="F177" s="32">
        <f>IF($A177="","",SUMIFS(GASTOS!$E$5:$E$304,GASTOS!$A$5:$A$304,$A177,GASTOS!$G$5:$G$304,"Efectivo",GASTOS!$H$5:$H$304,"SI"))</f>
        <v/>
      </c>
      <c r="G177" s="31" t="n"/>
      <c r="H177" s="17">
        <f>IF($A177="","",$B177+$C177-$F177-N($G177))</f>
        <v/>
      </c>
      <c r="I177" s="31" t="n"/>
      <c r="J177" s="30">
        <f>IF($A177="","",IF($I177="","",$I177-$H177))</f>
        <v/>
      </c>
    </row>
    <row r="178">
      <c r="A178" s="26" t="n"/>
      <c r="B178" s="31" t="n"/>
      <c r="C178" s="32">
        <f>IF($A178="","",SUMIFS(VENTAS!$F$5:$F$504,VENTAS!$A$5:$A$504,$A178,VENTAS!$K$5:$K$504,"Efectivo"))</f>
        <v/>
      </c>
      <c r="D178" s="32">
        <f>IF($A178="","",SUMIFS(VENTAS!$F$5:$F$504,VENTAS!$A$5:$A$504,$A178,VENTAS!$K$5:$K$504,"Transferencia"))</f>
        <v/>
      </c>
      <c r="E178" s="32">
        <f>IF($A178="","",SUMIFS(VENTAS!$F$5:$F$504,VENTAS!$A$5:$A$504,$A178,VENTAS!$K$5:$K$504,"PayPhone")+SUMIFS(VENTAS!$F$5:$F$504,VENTAS!$A$5:$A$504,$A178,VENTAS!$K$5:$K$504,"Tarjeta"))</f>
        <v/>
      </c>
      <c r="F178" s="32">
        <f>IF($A178="","",SUMIFS(GASTOS!$E$5:$E$304,GASTOS!$A$5:$A$304,$A178,GASTOS!$G$5:$G$304,"Efectivo",GASTOS!$H$5:$H$304,"SI"))</f>
        <v/>
      </c>
      <c r="G178" s="31" t="n"/>
      <c r="H178" s="17">
        <f>IF($A178="","",$B178+$C178-$F178-N($G178))</f>
        <v/>
      </c>
      <c r="I178" s="31" t="n"/>
      <c r="J178" s="30">
        <f>IF($A178="","",IF($I178="","",$I178-$H178))</f>
        <v/>
      </c>
    </row>
    <row r="179">
      <c r="A179" s="26" t="n"/>
      <c r="B179" s="31" t="n"/>
      <c r="C179" s="32">
        <f>IF($A179="","",SUMIFS(VENTAS!$F$5:$F$504,VENTAS!$A$5:$A$504,$A179,VENTAS!$K$5:$K$504,"Efectivo"))</f>
        <v/>
      </c>
      <c r="D179" s="32">
        <f>IF($A179="","",SUMIFS(VENTAS!$F$5:$F$504,VENTAS!$A$5:$A$504,$A179,VENTAS!$K$5:$K$504,"Transferencia"))</f>
        <v/>
      </c>
      <c r="E179" s="32">
        <f>IF($A179="","",SUMIFS(VENTAS!$F$5:$F$504,VENTAS!$A$5:$A$504,$A179,VENTAS!$K$5:$K$504,"PayPhone")+SUMIFS(VENTAS!$F$5:$F$504,VENTAS!$A$5:$A$504,$A179,VENTAS!$K$5:$K$504,"Tarjeta"))</f>
        <v/>
      </c>
      <c r="F179" s="32">
        <f>IF($A179="","",SUMIFS(GASTOS!$E$5:$E$304,GASTOS!$A$5:$A$304,$A179,GASTOS!$G$5:$G$304,"Efectivo",GASTOS!$H$5:$H$304,"SI"))</f>
        <v/>
      </c>
      <c r="G179" s="31" t="n"/>
      <c r="H179" s="17">
        <f>IF($A179="","",$B179+$C179-$F179-N($G179))</f>
        <v/>
      </c>
      <c r="I179" s="31" t="n"/>
      <c r="J179" s="30">
        <f>IF($A179="","",IF($I179="","",$I179-$H179))</f>
        <v/>
      </c>
    </row>
    <row r="180">
      <c r="A180" s="26" t="n"/>
      <c r="B180" s="31" t="n"/>
      <c r="C180" s="32">
        <f>IF($A180="","",SUMIFS(VENTAS!$F$5:$F$504,VENTAS!$A$5:$A$504,$A180,VENTAS!$K$5:$K$504,"Efectivo"))</f>
        <v/>
      </c>
      <c r="D180" s="32">
        <f>IF($A180="","",SUMIFS(VENTAS!$F$5:$F$504,VENTAS!$A$5:$A$504,$A180,VENTAS!$K$5:$K$504,"Transferencia"))</f>
        <v/>
      </c>
      <c r="E180" s="32">
        <f>IF($A180="","",SUMIFS(VENTAS!$F$5:$F$504,VENTAS!$A$5:$A$504,$A180,VENTAS!$K$5:$K$504,"PayPhone")+SUMIFS(VENTAS!$F$5:$F$504,VENTAS!$A$5:$A$504,$A180,VENTAS!$K$5:$K$504,"Tarjeta"))</f>
        <v/>
      </c>
      <c r="F180" s="32">
        <f>IF($A180="","",SUMIFS(GASTOS!$E$5:$E$304,GASTOS!$A$5:$A$304,$A180,GASTOS!$G$5:$G$304,"Efectivo",GASTOS!$H$5:$H$304,"SI"))</f>
        <v/>
      </c>
      <c r="G180" s="31" t="n"/>
      <c r="H180" s="17">
        <f>IF($A180="","",$B180+$C180-$F180-N($G180))</f>
        <v/>
      </c>
      <c r="I180" s="31" t="n"/>
      <c r="J180" s="30">
        <f>IF($A180="","",IF($I180="","",$I180-$H180))</f>
        <v/>
      </c>
    </row>
    <row r="181">
      <c r="A181" s="26" t="n"/>
      <c r="B181" s="31" t="n"/>
      <c r="C181" s="32">
        <f>IF($A181="","",SUMIFS(VENTAS!$F$5:$F$504,VENTAS!$A$5:$A$504,$A181,VENTAS!$K$5:$K$504,"Efectivo"))</f>
        <v/>
      </c>
      <c r="D181" s="32">
        <f>IF($A181="","",SUMIFS(VENTAS!$F$5:$F$504,VENTAS!$A$5:$A$504,$A181,VENTAS!$K$5:$K$504,"Transferencia"))</f>
        <v/>
      </c>
      <c r="E181" s="32">
        <f>IF($A181="","",SUMIFS(VENTAS!$F$5:$F$504,VENTAS!$A$5:$A$504,$A181,VENTAS!$K$5:$K$504,"PayPhone")+SUMIFS(VENTAS!$F$5:$F$504,VENTAS!$A$5:$A$504,$A181,VENTAS!$K$5:$K$504,"Tarjeta"))</f>
        <v/>
      </c>
      <c r="F181" s="32">
        <f>IF($A181="","",SUMIFS(GASTOS!$E$5:$E$304,GASTOS!$A$5:$A$304,$A181,GASTOS!$G$5:$G$304,"Efectivo",GASTOS!$H$5:$H$304,"SI"))</f>
        <v/>
      </c>
      <c r="G181" s="31" t="n"/>
      <c r="H181" s="17">
        <f>IF($A181="","",$B181+$C181-$F181-N($G181))</f>
        <v/>
      </c>
      <c r="I181" s="31" t="n"/>
      <c r="J181" s="30">
        <f>IF($A181="","",IF($I181="","",$I181-$H181))</f>
        <v/>
      </c>
    </row>
    <row r="182">
      <c r="A182" s="26" t="n"/>
      <c r="B182" s="31" t="n"/>
      <c r="C182" s="32">
        <f>IF($A182="","",SUMIFS(VENTAS!$F$5:$F$504,VENTAS!$A$5:$A$504,$A182,VENTAS!$K$5:$K$504,"Efectivo"))</f>
        <v/>
      </c>
      <c r="D182" s="32">
        <f>IF($A182="","",SUMIFS(VENTAS!$F$5:$F$504,VENTAS!$A$5:$A$504,$A182,VENTAS!$K$5:$K$504,"Transferencia"))</f>
        <v/>
      </c>
      <c r="E182" s="32">
        <f>IF($A182="","",SUMIFS(VENTAS!$F$5:$F$504,VENTAS!$A$5:$A$504,$A182,VENTAS!$K$5:$K$504,"PayPhone")+SUMIFS(VENTAS!$F$5:$F$504,VENTAS!$A$5:$A$504,$A182,VENTAS!$K$5:$K$504,"Tarjeta"))</f>
        <v/>
      </c>
      <c r="F182" s="32">
        <f>IF($A182="","",SUMIFS(GASTOS!$E$5:$E$304,GASTOS!$A$5:$A$304,$A182,GASTOS!$G$5:$G$304,"Efectivo",GASTOS!$H$5:$H$304,"SI"))</f>
        <v/>
      </c>
      <c r="G182" s="31" t="n"/>
      <c r="H182" s="17">
        <f>IF($A182="","",$B182+$C182-$F182-N($G182))</f>
        <v/>
      </c>
      <c r="I182" s="31" t="n"/>
      <c r="J182" s="30">
        <f>IF($A182="","",IF($I182="","",$I182-$H182))</f>
        <v/>
      </c>
    </row>
    <row r="183">
      <c r="A183" s="26" t="n"/>
      <c r="B183" s="31" t="n"/>
      <c r="C183" s="32">
        <f>IF($A183="","",SUMIFS(VENTAS!$F$5:$F$504,VENTAS!$A$5:$A$504,$A183,VENTAS!$K$5:$K$504,"Efectivo"))</f>
        <v/>
      </c>
      <c r="D183" s="32">
        <f>IF($A183="","",SUMIFS(VENTAS!$F$5:$F$504,VENTAS!$A$5:$A$504,$A183,VENTAS!$K$5:$K$504,"Transferencia"))</f>
        <v/>
      </c>
      <c r="E183" s="32">
        <f>IF($A183="","",SUMIFS(VENTAS!$F$5:$F$504,VENTAS!$A$5:$A$504,$A183,VENTAS!$K$5:$K$504,"PayPhone")+SUMIFS(VENTAS!$F$5:$F$504,VENTAS!$A$5:$A$504,$A183,VENTAS!$K$5:$K$504,"Tarjeta"))</f>
        <v/>
      </c>
      <c r="F183" s="32">
        <f>IF($A183="","",SUMIFS(GASTOS!$E$5:$E$304,GASTOS!$A$5:$A$304,$A183,GASTOS!$G$5:$G$304,"Efectivo",GASTOS!$H$5:$H$304,"SI"))</f>
        <v/>
      </c>
      <c r="G183" s="31" t="n"/>
      <c r="H183" s="17">
        <f>IF($A183="","",$B183+$C183-$F183-N($G183))</f>
        <v/>
      </c>
      <c r="I183" s="31" t="n"/>
      <c r="J183" s="30">
        <f>IF($A183="","",IF($I183="","",$I183-$H183))</f>
        <v/>
      </c>
    </row>
    <row r="184">
      <c r="A184" s="26" t="n"/>
      <c r="B184" s="31" t="n"/>
      <c r="C184" s="32">
        <f>IF($A184="","",SUMIFS(VENTAS!$F$5:$F$504,VENTAS!$A$5:$A$504,$A184,VENTAS!$K$5:$K$504,"Efectivo"))</f>
        <v/>
      </c>
      <c r="D184" s="32">
        <f>IF($A184="","",SUMIFS(VENTAS!$F$5:$F$504,VENTAS!$A$5:$A$504,$A184,VENTAS!$K$5:$K$504,"Transferencia"))</f>
        <v/>
      </c>
      <c r="E184" s="32">
        <f>IF($A184="","",SUMIFS(VENTAS!$F$5:$F$504,VENTAS!$A$5:$A$504,$A184,VENTAS!$K$5:$K$504,"PayPhone")+SUMIFS(VENTAS!$F$5:$F$504,VENTAS!$A$5:$A$504,$A184,VENTAS!$K$5:$K$504,"Tarjeta"))</f>
        <v/>
      </c>
      <c r="F184" s="32">
        <f>IF($A184="","",SUMIFS(GASTOS!$E$5:$E$304,GASTOS!$A$5:$A$304,$A184,GASTOS!$G$5:$G$304,"Efectivo",GASTOS!$H$5:$H$304,"SI"))</f>
        <v/>
      </c>
      <c r="G184" s="31" t="n"/>
      <c r="H184" s="17">
        <f>IF($A184="","",$B184+$C184-$F184-N($G184))</f>
        <v/>
      </c>
      <c r="I184" s="31" t="n"/>
      <c r="J184" s="30">
        <f>IF($A184="","",IF($I184="","",$I184-$H184))</f>
        <v/>
      </c>
    </row>
    <row r="185">
      <c r="A185" s="26" t="n"/>
      <c r="B185" s="31" t="n"/>
      <c r="C185" s="32">
        <f>IF($A185="","",SUMIFS(VENTAS!$F$5:$F$504,VENTAS!$A$5:$A$504,$A185,VENTAS!$K$5:$K$504,"Efectivo"))</f>
        <v/>
      </c>
      <c r="D185" s="32">
        <f>IF($A185="","",SUMIFS(VENTAS!$F$5:$F$504,VENTAS!$A$5:$A$504,$A185,VENTAS!$K$5:$K$504,"Transferencia"))</f>
        <v/>
      </c>
      <c r="E185" s="32">
        <f>IF($A185="","",SUMIFS(VENTAS!$F$5:$F$504,VENTAS!$A$5:$A$504,$A185,VENTAS!$K$5:$K$504,"PayPhone")+SUMIFS(VENTAS!$F$5:$F$504,VENTAS!$A$5:$A$504,$A185,VENTAS!$K$5:$K$504,"Tarjeta"))</f>
        <v/>
      </c>
      <c r="F185" s="32">
        <f>IF($A185="","",SUMIFS(GASTOS!$E$5:$E$304,GASTOS!$A$5:$A$304,$A185,GASTOS!$G$5:$G$304,"Efectivo",GASTOS!$H$5:$H$304,"SI"))</f>
        <v/>
      </c>
      <c r="G185" s="31" t="n"/>
      <c r="H185" s="17">
        <f>IF($A185="","",$B185+$C185-$F185-N($G185))</f>
        <v/>
      </c>
      <c r="I185" s="31" t="n"/>
      <c r="J185" s="30">
        <f>IF($A185="","",IF($I185="","",$I185-$H185))</f>
        <v/>
      </c>
    </row>
    <row r="186">
      <c r="A186" s="26" t="n"/>
      <c r="B186" s="31" t="n"/>
      <c r="C186" s="32">
        <f>IF($A186="","",SUMIFS(VENTAS!$F$5:$F$504,VENTAS!$A$5:$A$504,$A186,VENTAS!$K$5:$K$504,"Efectivo"))</f>
        <v/>
      </c>
      <c r="D186" s="32">
        <f>IF($A186="","",SUMIFS(VENTAS!$F$5:$F$504,VENTAS!$A$5:$A$504,$A186,VENTAS!$K$5:$K$504,"Transferencia"))</f>
        <v/>
      </c>
      <c r="E186" s="32">
        <f>IF($A186="","",SUMIFS(VENTAS!$F$5:$F$504,VENTAS!$A$5:$A$504,$A186,VENTAS!$K$5:$K$504,"PayPhone")+SUMIFS(VENTAS!$F$5:$F$504,VENTAS!$A$5:$A$504,$A186,VENTAS!$K$5:$K$504,"Tarjeta"))</f>
        <v/>
      </c>
      <c r="F186" s="32">
        <f>IF($A186="","",SUMIFS(GASTOS!$E$5:$E$304,GASTOS!$A$5:$A$304,$A186,GASTOS!$G$5:$G$304,"Efectivo",GASTOS!$H$5:$H$304,"SI"))</f>
        <v/>
      </c>
      <c r="G186" s="31" t="n"/>
      <c r="H186" s="17">
        <f>IF($A186="","",$B186+$C186-$F186-N($G186))</f>
        <v/>
      </c>
      <c r="I186" s="31" t="n"/>
      <c r="J186" s="30">
        <f>IF($A186="","",IF($I186="","",$I186-$H186))</f>
        <v/>
      </c>
    </row>
    <row r="187">
      <c r="A187" s="26" t="n"/>
      <c r="B187" s="31" t="n"/>
      <c r="C187" s="32">
        <f>IF($A187="","",SUMIFS(VENTAS!$F$5:$F$504,VENTAS!$A$5:$A$504,$A187,VENTAS!$K$5:$K$504,"Efectivo"))</f>
        <v/>
      </c>
      <c r="D187" s="32">
        <f>IF($A187="","",SUMIFS(VENTAS!$F$5:$F$504,VENTAS!$A$5:$A$504,$A187,VENTAS!$K$5:$K$504,"Transferencia"))</f>
        <v/>
      </c>
      <c r="E187" s="32">
        <f>IF($A187="","",SUMIFS(VENTAS!$F$5:$F$504,VENTAS!$A$5:$A$504,$A187,VENTAS!$K$5:$K$504,"PayPhone")+SUMIFS(VENTAS!$F$5:$F$504,VENTAS!$A$5:$A$504,$A187,VENTAS!$K$5:$K$504,"Tarjeta"))</f>
        <v/>
      </c>
      <c r="F187" s="32">
        <f>IF($A187="","",SUMIFS(GASTOS!$E$5:$E$304,GASTOS!$A$5:$A$304,$A187,GASTOS!$G$5:$G$304,"Efectivo",GASTOS!$H$5:$H$304,"SI"))</f>
        <v/>
      </c>
      <c r="G187" s="31" t="n"/>
      <c r="H187" s="17">
        <f>IF($A187="","",$B187+$C187-$F187-N($G187))</f>
        <v/>
      </c>
      <c r="I187" s="31" t="n"/>
      <c r="J187" s="30">
        <f>IF($A187="","",IF($I187="","",$I187-$H187))</f>
        <v/>
      </c>
    </row>
    <row r="188">
      <c r="A188" s="26" t="n"/>
      <c r="B188" s="31" t="n"/>
      <c r="C188" s="32">
        <f>IF($A188="","",SUMIFS(VENTAS!$F$5:$F$504,VENTAS!$A$5:$A$504,$A188,VENTAS!$K$5:$K$504,"Efectivo"))</f>
        <v/>
      </c>
      <c r="D188" s="32">
        <f>IF($A188="","",SUMIFS(VENTAS!$F$5:$F$504,VENTAS!$A$5:$A$504,$A188,VENTAS!$K$5:$K$504,"Transferencia"))</f>
        <v/>
      </c>
      <c r="E188" s="32">
        <f>IF($A188="","",SUMIFS(VENTAS!$F$5:$F$504,VENTAS!$A$5:$A$504,$A188,VENTAS!$K$5:$K$504,"PayPhone")+SUMIFS(VENTAS!$F$5:$F$504,VENTAS!$A$5:$A$504,$A188,VENTAS!$K$5:$K$504,"Tarjeta"))</f>
        <v/>
      </c>
      <c r="F188" s="32">
        <f>IF($A188="","",SUMIFS(GASTOS!$E$5:$E$304,GASTOS!$A$5:$A$304,$A188,GASTOS!$G$5:$G$304,"Efectivo",GASTOS!$H$5:$H$304,"SI"))</f>
        <v/>
      </c>
      <c r="G188" s="31" t="n"/>
      <c r="H188" s="17">
        <f>IF($A188="","",$B188+$C188-$F188-N($G188))</f>
        <v/>
      </c>
      <c r="I188" s="31" t="n"/>
      <c r="J188" s="30">
        <f>IF($A188="","",IF($I188="","",$I188-$H188))</f>
        <v/>
      </c>
    </row>
    <row r="189">
      <c r="A189" s="26" t="n"/>
      <c r="B189" s="31" t="n"/>
      <c r="C189" s="32">
        <f>IF($A189="","",SUMIFS(VENTAS!$F$5:$F$504,VENTAS!$A$5:$A$504,$A189,VENTAS!$K$5:$K$504,"Efectivo"))</f>
        <v/>
      </c>
      <c r="D189" s="32">
        <f>IF($A189="","",SUMIFS(VENTAS!$F$5:$F$504,VENTAS!$A$5:$A$504,$A189,VENTAS!$K$5:$K$504,"Transferencia"))</f>
        <v/>
      </c>
      <c r="E189" s="32">
        <f>IF($A189="","",SUMIFS(VENTAS!$F$5:$F$504,VENTAS!$A$5:$A$504,$A189,VENTAS!$K$5:$K$504,"PayPhone")+SUMIFS(VENTAS!$F$5:$F$504,VENTAS!$A$5:$A$504,$A189,VENTAS!$K$5:$K$504,"Tarjeta"))</f>
        <v/>
      </c>
      <c r="F189" s="32">
        <f>IF($A189="","",SUMIFS(GASTOS!$E$5:$E$304,GASTOS!$A$5:$A$304,$A189,GASTOS!$G$5:$G$304,"Efectivo",GASTOS!$H$5:$H$304,"SI"))</f>
        <v/>
      </c>
      <c r="G189" s="31" t="n"/>
      <c r="H189" s="17">
        <f>IF($A189="","",$B189+$C189-$F189-N($G189))</f>
        <v/>
      </c>
      <c r="I189" s="31" t="n"/>
      <c r="J189" s="30">
        <f>IF($A189="","",IF($I189="","",$I189-$H189))</f>
        <v/>
      </c>
    </row>
    <row r="190">
      <c r="A190" s="26" t="n"/>
      <c r="B190" s="31" t="n"/>
      <c r="C190" s="32">
        <f>IF($A190="","",SUMIFS(VENTAS!$F$5:$F$504,VENTAS!$A$5:$A$504,$A190,VENTAS!$K$5:$K$504,"Efectivo"))</f>
        <v/>
      </c>
      <c r="D190" s="32">
        <f>IF($A190="","",SUMIFS(VENTAS!$F$5:$F$504,VENTAS!$A$5:$A$504,$A190,VENTAS!$K$5:$K$504,"Transferencia"))</f>
        <v/>
      </c>
      <c r="E190" s="32">
        <f>IF($A190="","",SUMIFS(VENTAS!$F$5:$F$504,VENTAS!$A$5:$A$504,$A190,VENTAS!$K$5:$K$504,"PayPhone")+SUMIFS(VENTAS!$F$5:$F$504,VENTAS!$A$5:$A$504,$A190,VENTAS!$K$5:$K$504,"Tarjeta"))</f>
        <v/>
      </c>
      <c r="F190" s="32">
        <f>IF($A190="","",SUMIFS(GASTOS!$E$5:$E$304,GASTOS!$A$5:$A$304,$A190,GASTOS!$G$5:$G$304,"Efectivo",GASTOS!$H$5:$H$304,"SI"))</f>
        <v/>
      </c>
      <c r="G190" s="31" t="n"/>
      <c r="H190" s="17">
        <f>IF($A190="","",$B190+$C190-$F190-N($G190))</f>
        <v/>
      </c>
      <c r="I190" s="31" t="n"/>
      <c r="J190" s="30">
        <f>IF($A190="","",IF($I190="","",$I190-$H190))</f>
        <v/>
      </c>
    </row>
    <row r="191">
      <c r="A191" s="26" t="n"/>
      <c r="B191" s="31" t="n"/>
      <c r="C191" s="32">
        <f>IF($A191="","",SUMIFS(VENTAS!$F$5:$F$504,VENTAS!$A$5:$A$504,$A191,VENTAS!$K$5:$K$504,"Efectivo"))</f>
        <v/>
      </c>
      <c r="D191" s="32">
        <f>IF($A191="","",SUMIFS(VENTAS!$F$5:$F$504,VENTAS!$A$5:$A$504,$A191,VENTAS!$K$5:$K$504,"Transferencia"))</f>
        <v/>
      </c>
      <c r="E191" s="32">
        <f>IF($A191="","",SUMIFS(VENTAS!$F$5:$F$504,VENTAS!$A$5:$A$504,$A191,VENTAS!$K$5:$K$504,"PayPhone")+SUMIFS(VENTAS!$F$5:$F$504,VENTAS!$A$5:$A$504,$A191,VENTAS!$K$5:$K$504,"Tarjeta"))</f>
        <v/>
      </c>
      <c r="F191" s="32">
        <f>IF($A191="","",SUMIFS(GASTOS!$E$5:$E$304,GASTOS!$A$5:$A$304,$A191,GASTOS!$G$5:$G$304,"Efectivo",GASTOS!$H$5:$H$304,"SI"))</f>
        <v/>
      </c>
      <c r="G191" s="31" t="n"/>
      <c r="H191" s="17">
        <f>IF($A191="","",$B191+$C191-$F191-N($G191))</f>
        <v/>
      </c>
      <c r="I191" s="31" t="n"/>
      <c r="J191" s="30">
        <f>IF($A191="","",IF($I191="","",$I191-$H191))</f>
        <v/>
      </c>
    </row>
    <row r="192">
      <c r="A192" s="26" t="n"/>
      <c r="B192" s="31" t="n"/>
      <c r="C192" s="32">
        <f>IF($A192="","",SUMIFS(VENTAS!$F$5:$F$504,VENTAS!$A$5:$A$504,$A192,VENTAS!$K$5:$K$504,"Efectivo"))</f>
        <v/>
      </c>
      <c r="D192" s="32">
        <f>IF($A192="","",SUMIFS(VENTAS!$F$5:$F$504,VENTAS!$A$5:$A$504,$A192,VENTAS!$K$5:$K$504,"Transferencia"))</f>
        <v/>
      </c>
      <c r="E192" s="32">
        <f>IF($A192="","",SUMIFS(VENTAS!$F$5:$F$504,VENTAS!$A$5:$A$504,$A192,VENTAS!$K$5:$K$504,"PayPhone")+SUMIFS(VENTAS!$F$5:$F$504,VENTAS!$A$5:$A$504,$A192,VENTAS!$K$5:$K$504,"Tarjeta"))</f>
        <v/>
      </c>
      <c r="F192" s="32">
        <f>IF($A192="","",SUMIFS(GASTOS!$E$5:$E$304,GASTOS!$A$5:$A$304,$A192,GASTOS!$G$5:$G$304,"Efectivo",GASTOS!$H$5:$H$304,"SI"))</f>
        <v/>
      </c>
      <c r="G192" s="31" t="n"/>
      <c r="H192" s="17">
        <f>IF($A192="","",$B192+$C192-$F192-N($G192))</f>
        <v/>
      </c>
      <c r="I192" s="31" t="n"/>
      <c r="J192" s="30">
        <f>IF($A192="","",IF($I192="","",$I192-$H192))</f>
        <v/>
      </c>
    </row>
    <row r="193">
      <c r="A193" s="26" t="n"/>
      <c r="B193" s="31" t="n"/>
      <c r="C193" s="32">
        <f>IF($A193="","",SUMIFS(VENTAS!$F$5:$F$504,VENTAS!$A$5:$A$504,$A193,VENTAS!$K$5:$K$504,"Efectivo"))</f>
        <v/>
      </c>
      <c r="D193" s="32">
        <f>IF($A193="","",SUMIFS(VENTAS!$F$5:$F$504,VENTAS!$A$5:$A$504,$A193,VENTAS!$K$5:$K$504,"Transferencia"))</f>
        <v/>
      </c>
      <c r="E193" s="32">
        <f>IF($A193="","",SUMIFS(VENTAS!$F$5:$F$504,VENTAS!$A$5:$A$504,$A193,VENTAS!$K$5:$K$504,"PayPhone")+SUMIFS(VENTAS!$F$5:$F$504,VENTAS!$A$5:$A$504,$A193,VENTAS!$K$5:$K$504,"Tarjeta"))</f>
        <v/>
      </c>
      <c r="F193" s="32">
        <f>IF($A193="","",SUMIFS(GASTOS!$E$5:$E$304,GASTOS!$A$5:$A$304,$A193,GASTOS!$G$5:$G$304,"Efectivo",GASTOS!$H$5:$H$304,"SI"))</f>
        <v/>
      </c>
      <c r="G193" s="31" t="n"/>
      <c r="H193" s="17">
        <f>IF($A193="","",$B193+$C193-$F193-N($G193))</f>
        <v/>
      </c>
      <c r="I193" s="31" t="n"/>
      <c r="J193" s="30">
        <f>IF($A193="","",IF($I193="","",$I193-$H193))</f>
        <v/>
      </c>
    </row>
    <row r="194">
      <c r="A194" s="26" t="n"/>
      <c r="B194" s="31" t="n"/>
      <c r="C194" s="32">
        <f>IF($A194="","",SUMIFS(VENTAS!$F$5:$F$504,VENTAS!$A$5:$A$504,$A194,VENTAS!$K$5:$K$504,"Efectivo"))</f>
        <v/>
      </c>
      <c r="D194" s="32">
        <f>IF($A194="","",SUMIFS(VENTAS!$F$5:$F$504,VENTAS!$A$5:$A$504,$A194,VENTAS!$K$5:$K$504,"Transferencia"))</f>
        <v/>
      </c>
      <c r="E194" s="32">
        <f>IF($A194="","",SUMIFS(VENTAS!$F$5:$F$504,VENTAS!$A$5:$A$504,$A194,VENTAS!$K$5:$K$504,"PayPhone")+SUMIFS(VENTAS!$F$5:$F$504,VENTAS!$A$5:$A$504,$A194,VENTAS!$K$5:$K$504,"Tarjeta"))</f>
        <v/>
      </c>
      <c r="F194" s="32">
        <f>IF($A194="","",SUMIFS(GASTOS!$E$5:$E$304,GASTOS!$A$5:$A$304,$A194,GASTOS!$G$5:$G$304,"Efectivo",GASTOS!$H$5:$H$304,"SI"))</f>
        <v/>
      </c>
      <c r="G194" s="31" t="n"/>
      <c r="H194" s="17">
        <f>IF($A194="","",$B194+$C194-$F194-N($G194))</f>
        <v/>
      </c>
      <c r="I194" s="31" t="n"/>
      <c r="J194" s="30">
        <f>IF($A194="","",IF($I194="","",$I194-$H194))</f>
        <v/>
      </c>
    </row>
    <row r="195">
      <c r="A195" s="26" t="n"/>
      <c r="B195" s="31" t="n"/>
      <c r="C195" s="32">
        <f>IF($A195="","",SUMIFS(VENTAS!$F$5:$F$504,VENTAS!$A$5:$A$504,$A195,VENTAS!$K$5:$K$504,"Efectivo"))</f>
        <v/>
      </c>
      <c r="D195" s="32">
        <f>IF($A195="","",SUMIFS(VENTAS!$F$5:$F$504,VENTAS!$A$5:$A$504,$A195,VENTAS!$K$5:$K$504,"Transferencia"))</f>
        <v/>
      </c>
      <c r="E195" s="32">
        <f>IF($A195="","",SUMIFS(VENTAS!$F$5:$F$504,VENTAS!$A$5:$A$504,$A195,VENTAS!$K$5:$K$504,"PayPhone")+SUMIFS(VENTAS!$F$5:$F$504,VENTAS!$A$5:$A$504,$A195,VENTAS!$K$5:$K$504,"Tarjeta"))</f>
        <v/>
      </c>
      <c r="F195" s="32">
        <f>IF($A195="","",SUMIFS(GASTOS!$E$5:$E$304,GASTOS!$A$5:$A$304,$A195,GASTOS!$G$5:$G$304,"Efectivo",GASTOS!$H$5:$H$304,"SI"))</f>
        <v/>
      </c>
      <c r="G195" s="31" t="n"/>
      <c r="H195" s="17">
        <f>IF($A195="","",$B195+$C195-$F195-N($G195))</f>
        <v/>
      </c>
      <c r="I195" s="31" t="n"/>
      <c r="J195" s="30">
        <f>IF($A195="","",IF($I195="","",$I195-$H195))</f>
        <v/>
      </c>
    </row>
    <row r="196">
      <c r="A196" s="26" t="n"/>
      <c r="B196" s="31" t="n"/>
      <c r="C196" s="32">
        <f>IF($A196="","",SUMIFS(VENTAS!$F$5:$F$504,VENTAS!$A$5:$A$504,$A196,VENTAS!$K$5:$K$504,"Efectivo"))</f>
        <v/>
      </c>
      <c r="D196" s="32">
        <f>IF($A196="","",SUMIFS(VENTAS!$F$5:$F$504,VENTAS!$A$5:$A$504,$A196,VENTAS!$K$5:$K$504,"Transferencia"))</f>
        <v/>
      </c>
      <c r="E196" s="32">
        <f>IF($A196="","",SUMIFS(VENTAS!$F$5:$F$504,VENTAS!$A$5:$A$504,$A196,VENTAS!$K$5:$K$504,"PayPhone")+SUMIFS(VENTAS!$F$5:$F$504,VENTAS!$A$5:$A$504,$A196,VENTAS!$K$5:$K$504,"Tarjeta"))</f>
        <v/>
      </c>
      <c r="F196" s="32">
        <f>IF($A196="","",SUMIFS(GASTOS!$E$5:$E$304,GASTOS!$A$5:$A$304,$A196,GASTOS!$G$5:$G$304,"Efectivo",GASTOS!$H$5:$H$304,"SI"))</f>
        <v/>
      </c>
      <c r="G196" s="31" t="n"/>
      <c r="H196" s="17">
        <f>IF($A196="","",$B196+$C196-$F196-N($G196))</f>
        <v/>
      </c>
      <c r="I196" s="31" t="n"/>
      <c r="J196" s="30">
        <f>IF($A196="","",IF($I196="","",$I196-$H196))</f>
        <v/>
      </c>
    </row>
    <row r="197">
      <c r="A197" s="26" t="n"/>
      <c r="B197" s="31" t="n"/>
      <c r="C197" s="32">
        <f>IF($A197="","",SUMIFS(VENTAS!$F$5:$F$504,VENTAS!$A$5:$A$504,$A197,VENTAS!$K$5:$K$504,"Efectivo"))</f>
        <v/>
      </c>
      <c r="D197" s="32">
        <f>IF($A197="","",SUMIFS(VENTAS!$F$5:$F$504,VENTAS!$A$5:$A$504,$A197,VENTAS!$K$5:$K$504,"Transferencia"))</f>
        <v/>
      </c>
      <c r="E197" s="32">
        <f>IF($A197="","",SUMIFS(VENTAS!$F$5:$F$504,VENTAS!$A$5:$A$504,$A197,VENTAS!$K$5:$K$504,"PayPhone")+SUMIFS(VENTAS!$F$5:$F$504,VENTAS!$A$5:$A$504,$A197,VENTAS!$K$5:$K$504,"Tarjeta"))</f>
        <v/>
      </c>
      <c r="F197" s="32">
        <f>IF($A197="","",SUMIFS(GASTOS!$E$5:$E$304,GASTOS!$A$5:$A$304,$A197,GASTOS!$G$5:$G$304,"Efectivo",GASTOS!$H$5:$H$304,"SI"))</f>
        <v/>
      </c>
      <c r="G197" s="31" t="n"/>
      <c r="H197" s="17">
        <f>IF($A197="","",$B197+$C197-$F197-N($G197))</f>
        <v/>
      </c>
      <c r="I197" s="31" t="n"/>
      <c r="J197" s="30">
        <f>IF($A197="","",IF($I197="","",$I197-$H197))</f>
        <v/>
      </c>
    </row>
    <row r="198">
      <c r="A198" s="26" t="n"/>
      <c r="B198" s="31" t="n"/>
      <c r="C198" s="32">
        <f>IF($A198="","",SUMIFS(VENTAS!$F$5:$F$504,VENTAS!$A$5:$A$504,$A198,VENTAS!$K$5:$K$504,"Efectivo"))</f>
        <v/>
      </c>
      <c r="D198" s="32">
        <f>IF($A198="","",SUMIFS(VENTAS!$F$5:$F$504,VENTAS!$A$5:$A$504,$A198,VENTAS!$K$5:$K$504,"Transferencia"))</f>
        <v/>
      </c>
      <c r="E198" s="32">
        <f>IF($A198="","",SUMIFS(VENTAS!$F$5:$F$504,VENTAS!$A$5:$A$504,$A198,VENTAS!$K$5:$K$504,"PayPhone")+SUMIFS(VENTAS!$F$5:$F$504,VENTAS!$A$5:$A$504,$A198,VENTAS!$K$5:$K$504,"Tarjeta"))</f>
        <v/>
      </c>
      <c r="F198" s="32">
        <f>IF($A198="","",SUMIFS(GASTOS!$E$5:$E$304,GASTOS!$A$5:$A$304,$A198,GASTOS!$G$5:$G$304,"Efectivo",GASTOS!$H$5:$H$304,"SI"))</f>
        <v/>
      </c>
      <c r="G198" s="31" t="n"/>
      <c r="H198" s="17">
        <f>IF($A198="","",$B198+$C198-$F198-N($G198))</f>
        <v/>
      </c>
      <c r="I198" s="31" t="n"/>
      <c r="J198" s="30">
        <f>IF($A198="","",IF($I198="","",$I198-$H198))</f>
        <v/>
      </c>
    </row>
    <row r="199">
      <c r="A199" s="26" t="n"/>
      <c r="B199" s="31" t="n"/>
      <c r="C199" s="32">
        <f>IF($A199="","",SUMIFS(VENTAS!$F$5:$F$504,VENTAS!$A$5:$A$504,$A199,VENTAS!$K$5:$K$504,"Efectivo"))</f>
        <v/>
      </c>
      <c r="D199" s="32">
        <f>IF($A199="","",SUMIFS(VENTAS!$F$5:$F$504,VENTAS!$A$5:$A$504,$A199,VENTAS!$K$5:$K$504,"Transferencia"))</f>
        <v/>
      </c>
      <c r="E199" s="32">
        <f>IF($A199="","",SUMIFS(VENTAS!$F$5:$F$504,VENTAS!$A$5:$A$504,$A199,VENTAS!$K$5:$K$504,"PayPhone")+SUMIFS(VENTAS!$F$5:$F$504,VENTAS!$A$5:$A$504,$A199,VENTAS!$K$5:$K$504,"Tarjeta"))</f>
        <v/>
      </c>
      <c r="F199" s="32">
        <f>IF($A199="","",SUMIFS(GASTOS!$E$5:$E$304,GASTOS!$A$5:$A$304,$A199,GASTOS!$G$5:$G$304,"Efectivo",GASTOS!$H$5:$H$304,"SI"))</f>
        <v/>
      </c>
      <c r="G199" s="31" t="n"/>
      <c r="H199" s="17">
        <f>IF($A199="","",$B199+$C199-$F199-N($G199))</f>
        <v/>
      </c>
      <c r="I199" s="31" t="n"/>
      <c r="J199" s="30">
        <f>IF($A199="","",IF($I199="","",$I199-$H199))</f>
        <v/>
      </c>
    </row>
    <row r="200">
      <c r="A200" s="26" t="n"/>
      <c r="B200" s="31" t="n"/>
      <c r="C200" s="32">
        <f>IF($A200="","",SUMIFS(VENTAS!$F$5:$F$504,VENTAS!$A$5:$A$504,$A200,VENTAS!$K$5:$K$504,"Efectivo"))</f>
        <v/>
      </c>
      <c r="D200" s="32">
        <f>IF($A200="","",SUMIFS(VENTAS!$F$5:$F$504,VENTAS!$A$5:$A$504,$A200,VENTAS!$K$5:$K$504,"Transferencia"))</f>
        <v/>
      </c>
      <c r="E200" s="32">
        <f>IF($A200="","",SUMIFS(VENTAS!$F$5:$F$504,VENTAS!$A$5:$A$504,$A200,VENTAS!$K$5:$K$504,"PayPhone")+SUMIFS(VENTAS!$F$5:$F$504,VENTAS!$A$5:$A$504,$A200,VENTAS!$K$5:$K$504,"Tarjeta"))</f>
        <v/>
      </c>
      <c r="F200" s="32">
        <f>IF($A200="","",SUMIFS(GASTOS!$E$5:$E$304,GASTOS!$A$5:$A$304,$A200,GASTOS!$G$5:$G$304,"Efectivo",GASTOS!$H$5:$H$304,"SI"))</f>
        <v/>
      </c>
      <c r="G200" s="31" t="n"/>
      <c r="H200" s="17">
        <f>IF($A200="","",$B200+$C200-$F200-N($G200))</f>
        <v/>
      </c>
      <c r="I200" s="31" t="n"/>
      <c r="J200" s="30">
        <f>IF($A200="","",IF($I200="","",$I200-$H200))</f>
        <v/>
      </c>
    </row>
    <row r="201">
      <c r="A201" s="26" t="n"/>
      <c r="B201" s="31" t="n"/>
      <c r="C201" s="32">
        <f>IF($A201="","",SUMIFS(VENTAS!$F$5:$F$504,VENTAS!$A$5:$A$504,$A201,VENTAS!$K$5:$K$504,"Efectivo"))</f>
        <v/>
      </c>
      <c r="D201" s="32">
        <f>IF($A201="","",SUMIFS(VENTAS!$F$5:$F$504,VENTAS!$A$5:$A$504,$A201,VENTAS!$K$5:$K$504,"Transferencia"))</f>
        <v/>
      </c>
      <c r="E201" s="32">
        <f>IF($A201="","",SUMIFS(VENTAS!$F$5:$F$504,VENTAS!$A$5:$A$504,$A201,VENTAS!$K$5:$K$504,"PayPhone")+SUMIFS(VENTAS!$F$5:$F$504,VENTAS!$A$5:$A$504,$A201,VENTAS!$K$5:$K$504,"Tarjeta"))</f>
        <v/>
      </c>
      <c r="F201" s="32">
        <f>IF($A201="","",SUMIFS(GASTOS!$E$5:$E$304,GASTOS!$A$5:$A$304,$A201,GASTOS!$G$5:$G$304,"Efectivo",GASTOS!$H$5:$H$304,"SI"))</f>
        <v/>
      </c>
      <c r="G201" s="31" t="n"/>
      <c r="H201" s="17">
        <f>IF($A201="","",$B201+$C201-$F201-N($G201))</f>
        <v/>
      </c>
      <c r="I201" s="31" t="n"/>
      <c r="J201" s="30">
        <f>IF($A201="","",IF($I201="","",$I201-$H201))</f>
        <v/>
      </c>
    </row>
    <row r="202">
      <c r="A202" s="26" t="n"/>
      <c r="B202" s="31" t="n"/>
      <c r="C202" s="32">
        <f>IF($A202="","",SUMIFS(VENTAS!$F$5:$F$504,VENTAS!$A$5:$A$504,$A202,VENTAS!$K$5:$K$504,"Efectivo"))</f>
        <v/>
      </c>
      <c r="D202" s="32">
        <f>IF($A202="","",SUMIFS(VENTAS!$F$5:$F$504,VENTAS!$A$5:$A$504,$A202,VENTAS!$K$5:$K$504,"Transferencia"))</f>
        <v/>
      </c>
      <c r="E202" s="32">
        <f>IF($A202="","",SUMIFS(VENTAS!$F$5:$F$504,VENTAS!$A$5:$A$504,$A202,VENTAS!$K$5:$K$504,"PayPhone")+SUMIFS(VENTAS!$F$5:$F$504,VENTAS!$A$5:$A$504,$A202,VENTAS!$K$5:$K$504,"Tarjeta"))</f>
        <v/>
      </c>
      <c r="F202" s="32">
        <f>IF($A202="","",SUMIFS(GASTOS!$E$5:$E$304,GASTOS!$A$5:$A$304,$A202,GASTOS!$G$5:$G$304,"Efectivo",GASTOS!$H$5:$H$304,"SI"))</f>
        <v/>
      </c>
      <c r="G202" s="31" t="n"/>
      <c r="H202" s="17">
        <f>IF($A202="","",$B202+$C202-$F202-N($G202))</f>
        <v/>
      </c>
      <c r="I202" s="31" t="n"/>
      <c r="J202" s="30">
        <f>IF($A202="","",IF($I202="","",$I202-$H202))</f>
        <v/>
      </c>
    </row>
    <row r="203">
      <c r="A203" s="26" t="n"/>
      <c r="B203" s="31" t="n"/>
      <c r="C203" s="32">
        <f>IF($A203="","",SUMIFS(VENTAS!$F$5:$F$504,VENTAS!$A$5:$A$504,$A203,VENTAS!$K$5:$K$504,"Efectivo"))</f>
        <v/>
      </c>
      <c r="D203" s="32">
        <f>IF($A203="","",SUMIFS(VENTAS!$F$5:$F$504,VENTAS!$A$5:$A$504,$A203,VENTAS!$K$5:$K$504,"Transferencia"))</f>
        <v/>
      </c>
      <c r="E203" s="32">
        <f>IF($A203="","",SUMIFS(VENTAS!$F$5:$F$504,VENTAS!$A$5:$A$504,$A203,VENTAS!$K$5:$K$504,"PayPhone")+SUMIFS(VENTAS!$F$5:$F$504,VENTAS!$A$5:$A$504,$A203,VENTAS!$K$5:$K$504,"Tarjeta"))</f>
        <v/>
      </c>
      <c r="F203" s="32">
        <f>IF($A203="","",SUMIFS(GASTOS!$E$5:$E$304,GASTOS!$A$5:$A$304,$A203,GASTOS!$G$5:$G$304,"Efectivo",GASTOS!$H$5:$H$304,"SI"))</f>
        <v/>
      </c>
      <c r="G203" s="31" t="n"/>
      <c r="H203" s="17">
        <f>IF($A203="","",$B203+$C203-$F203-N($G203))</f>
        <v/>
      </c>
      <c r="I203" s="31" t="n"/>
      <c r="J203" s="30">
        <f>IF($A203="","",IF($I203="","",$I203-$H203))</f>
        <v/>
      </c>
    </row>
    <row r="204">
      <c r="A204" s="26" t="n"/>
      <c r="B204" s="31" t="n"/>
      <c r="C204" s="32">
        <f>IF($A204="","",SUMIFS(VENTAS!$F$5:$F$504,VENTAS!$A$5:$A$504,$A204,VENTAS!$K$5:$K$504,"Efectivo"))</f>
        <v/>
      </c>
      <c r="D204" s="32">
        <f>IF($A204="","",SUMIFS(VENTAS!$F$5:$F$504,VENTAS!$A$5:$A$504,$A204,VENTAS!$K$5:$K$504,"Transferencia"))</f>
        <v/>
      </c>
      <c r="E204" s="32">
        <f>IF($A204="","",SUMIFS(VENTAS!$F$5:$F$504,VENTAS!$A$5:$A$504,$A204,VENTAS!$K$5:$K$504,"PayPhone")+SUMIFS(VENTAS!$F$5:$F$504,VENTAS!$A$5:$A$504,$A204,VENTAS!$K$5:$K$504,"Tarjeta"))</f>
        <v/>
      </c>
      <c r="F204" s="32">
        <f>IF($A204="","",SUMIFS(GASTOS!$E$5:$E$304,GASTOS!$A$5:$A$304,$A204,GASTOS!$G$5:$G$304,"Efectivo",GASTOS!$H$5:$H$304,"SI"))</f>
        <v/>
      </c>
      <c r="G204" s="31" t="n"/>
      <c r="H204" s="17">
        <f>IF($A204="","",$B204+$C204-$F204-N($G204))</f>
        <v/>
      </c>
      <c r="I204" s="31" t="n"/>
      <c r="J204" s="30">
        <f>IF($A204="","",IF($I204="","",$I204-$H204))</f>
        <v/>
      </c>
    </row>
    <row r="206">
      <c r="B206" s="2" t="inlineStr">
        <is>
          <t>Descuadre negativo = falta plata. Positivo = sobra (mal cobrado o venta no registrada). Ambos son problema.</t>
        </is>
      </c>
    </row>
  </sheetData>
  <conditionalFormatting sqref="J5:J204">
    <cfRule type="cellIs" priority="1" operator="lessThan" dxfId="0">
      <formula>-0.5</formula>
    </cfRule>
    <cfRule type="cellIs" priority="2" operator="greaterThan" dxfId="2">
      <formula>0.5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L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2" customWidth="1" min="4" max="4"/>
    <col width="12" customWidth="1" min="5" max="5"/>
    <col width="8" customWidth="1" min="6" max="6"/>
    <col width="14" customWidth="1" min="7" max="7"/>
    <col width="12" customWidth="1" min="8" max="8"/>
    <col width="10" customWidth="1" min="9" max="9"/>
    <col width="12" customWidth="1" min="10" max="10"/>
    <col width="15" customWidth="1" min="11" max="11"/>
    <col width="16" customWidth="1" min="12" max="12"/>
  </cols>
  <sheetData>
    <row r="1" ht="24" customHeight="1">
      <c r="A1" s="1" t="inlineStr">
        <is>
          <t>PRODUCTOS Y PRECIOS</t>
        </is>
      </c>
    </row>
    <row r="2">
      <c r="A2" s="2" t="inlineStr">
        <is>
          <t>Precios de carta CON IVA incluido. El sistema descuenta el IVA para mostrarte tu utilidad REAL.</t>
        </is>
      </c>
    </row>
    <row r="4" ht="30" customHeight="1">
      <c r="A4" s="25" t="inlineStr">
        <is>
          <t>ID</t>
        </is>
      </c>
      <c r="B4" s="25" t="inlineStr">
        <is>
          <t>Producto</t>
        </is>
      </c>
      <c r="C4" s="25" t="inlineStr">
        <is>
          <t>Categoria</t>
        </is>
      </c>
      <c r="D4" s="25" t="inlineStr">
        <is>
          <t>COSTO</t>
        </is>
      </c>
      <c r="E4" s="25" t="inlineStr">
        <is>
          <t>PVP c/IVA</t>
        </is>
      </c>
      <c r="F4" s="25" t="inlineStr">
        <is>
          <t>IVA %</t>
        </is>
      </c>
      <c r="G4" s="25" t="inlineStr">
        <is>
          <t>Ingreso neto (sin IVA)</t>
        </is>
      </c>
      <c r="H4" s="25" t="inlineStr">
        <is>
          <t>UTILIDAD</t>
        </is>
      </c>
      <c r="I4" s="25" t="inlineStr">
        <is>
          <t>MARGEN</t>
        </is>
      </c>
      <c r="J4" s="25" t="inlineStr">
        <is>
          <t>Margen objetivo</t>
        </is>
      </c>
      <c r="K4" s="25" t="inlineStr">
        <is>
          <t>PVP sugerido c/IVA</t>
        </is>
      </c>
      <c r="L4" s="25" t="inlineStr">
        <is>
          <t>ESTADO</t>
        </is>
      </c>
    </row>
    <row r="5">
      <c r="A5" s="29" t="n">
        <v>1</v>
      </c>
      <c r="B5" s="28" t="inlineStr">
        <is>
          <t>Coco s/alcohol</t>
        </is>
      </c>
      <c r="C5" s="28" t="inlineStr">
        <is>
          <t>Granizado maquina</t>
        </is>
      </c>
      <c r="D5" s="17">
        <f>IF($B5="","",SUMIFS(RECETAS!$G$5:$G$254,RECETAS!$B$5:$B$254,$B5)+IFERROR(INDEX(COMBOS!$K$5:$K$24,MATCH($B5,COMBOS!$B$5:$B$24,0)),0))</f>
        <v/>
      </c>
      <c r="E5" s="31" t="n">
        <v>1.5</v>
      </c>
      <c r="F5" s="33">
        <f>IF($B5="","",INICIO!$C$5)</f>
        <v/>
      </c>
      <c r="G5" s="17">
        <f>IFERROR(IF($B5="","",$E5/(1+$F5)),"")</f>
        <v/>
      </c>
      <c r="H5" s="30">
        <f>IFERROR(IF($B5="","",$G5-$D5),"")</f>
        <v/>
      </c>
      <c r="I5" s="34">
        <f>IFERROR(IF($B5="","",$H5/$G5),"")</f>
        <v/>
      </c>
      <c r="J5" s="33">
        <f>IF($B5="","",INICIO!$C$9)</f>
        <v/>
      </c>
      <c r="K5" s="17">
        <f>IFERROR(IF($B5="","",$D5/(1-$J5)*(1+$F5)),"")</f>
        <v/>
      </c>
      <c r="L5" s="24">
        <f>IF($B5="","",IF($I5&lt;0,"PIERDE PLATA",IF($I5&lt;0.5,"MARGEN BAJO",IF($I5&lt;0.65,"ACEPTABLE","EXCELENTE"))))</f>
        <v/>
      </c>
    </row>
    <row r="6">
      <c r="A6" s="29" t="n">
        <v>2</v>
      </c>
      <c r="B6" s="28" t="inlineStr">
        <is>
          <t>Frutos Rojos s/alcohol</t>
        </is>
      </c>
      <c r="C6" s="28" t="inlineStr">
        <is>
          <t>Granizado maquina</t>
        </is>
      </c>
      <c r="D6" s="17">
        <f>IF($B6="","",SUMIFS(RECETAS!$G$5:$G$254,RECETAS!$B$5:$B$254,$B6)+IFERROR(INDEX(COMBOS!$K$5:$K$24,MATCH($B6,COMBOS!$B$5:$B$24,0)),0))</f>
        <v/>
      </c>
      <c r="E6" s="31" t="n">
        <v>1.5</v>
      </c>
      <c r="F6" s="33">
        <f>IF($B6="","",INICIO!$C$5)</f>
        <v/>
      </c>
      <c r="G6" s="17">
        <f>IFERROR(IF($B6="","",$E6/(1+$F6)),"")</f>
        <v/>
      </c>
      <c r="H6" s="30">
        <f>IFERROR(IF($B6="","",$G6-$D6),"")</f>
        <v/>
      </c>
      <c r="I6" s="34">
        <f>IFERROR(IF($B6="","",$H6/$G6),"")</f>
        <v/>
      </c>
      <c r="J6" s="33">
        <f>IF($B6="","",INICIO!$C$9)</f>
        <v/>
      </c>
      <c r="K6" s="17">
        <f>IFERROR(IF($B6="","",$D6/(1-$J6)*(1+$F6)),"")</f>
        <v/>
      </c>
      <c r="L6" s="24">
        <f>IF($B6="","",IF($I6&lt;0,"PIERDE PLATA",IF($I6&lt;0.5,"MARGEN BAJO",IF($I6&lt;0.65,"ACEPTABLE","EXCELENTE"))))</f>
        <v/>
      </c>
    </row>
    <row r="7">
      <c r="A7" s="29" t="n">
        <v>3</v>
      </c>
      <c r="B7" s="28" t="inlineStr">
        <is>
          <t>Maracuya s/alcohol</t>
        </is>
      </c>
      <c r="C7" s="28" t="inlineStr">
        <is>
          <t>Granizado maquina</t>
        </is>
      </c>
      <c r="D7" s="17">
        <f>IF($B7="","",SUMIFS(RECETAS!$G$5:$G$254,RECETAS!$B$5:$B$254,$B7)+IFERROR(INDEX(COMBOS!$K$5:$K$24,MATCH($B7,COMBOS!$B$5:$B$24,0)),0))</f>
        <v/>
      </c>
      <c r="E7" s="31" t="n">
        <v>1.5</v>
      </c>
      <c r="F7" s="33">
        <f>IF($B7="","",INICIO!$C$5)</f>
        <v/>
      </c>
      <c r="G7" s="17">
        <f>IFERROR(IF($B7="","",$E7/(1+$F7)),"")</f>
        <v/>
      </c>
      <c r="H7" s="30">
        <f>IFERROR(IF($B7="","",$G7-$D7),"")</f>
        <v/>
      </c>
      <c r="I7" s="34">
        <f>IFERROR(IF($B7="","",$H7/$G7),"")</f>
        <v/>
      </c>
      <c r="J7" s="33">
        <f>IF($B7="","",INICIO!$C$9)</f>
        <v/>
      </c>
      <c r="K7" s="17">
        <f>IFERROR(IF($B7="","",$D7/(1-$J7)*(1+$F7)),"")</f>
        <v/>
      </c>
      <c r="L7" s="24">
        <f>IF($B7="","",IF($I7&lt;0,"PIERDE PLATA",IF($I7&lt;0.5,"MARGEN BAJO",IF($I7&lt;0.65,"ACEPTABLE","EXCELENTE"))))</f>
        <v/>
      </c>
    </row>
    <row r="8">
      <c r="A8" s="29" t="n">
        <v>4</v>
      </c>
      <c r="B8" s="28" t="inlineStr">
        <is>
          <t>Naranja s/alcohol</t>
        </is>
      </c>
      <c r="C8" s="28" t="inlineStr">
        <is>
          <t>Granizado maquina</t>
        </is>
      </c>
      <c r="D8" s="17">
        <f>IF($B8="","",SUMIFS(RECETAS!$G$5:$G$254,RECETAS!$B$5:$B$254,$B8)+IFERROR(INDEX(COMBOS!$K$5:$K$24,MATCH($B8,COMBOS!$B$5:$B$24,0)),0))</f>
        <v/>
      </c>
      <c r="E8" s="31" t="n">
        <v>1.5</v>
      </c>
      <c r="F8" s="33">
        <f>IF($B8="","",INICIO!$C$5)</f>
        <v/>
      </c>
      <c r="G8" s="17">
        <f>IFERROR(IF($B8="","",$E8/(1+$F8)),"")</f>
        <v/>
      </c>
      <c r="H8" s="30">
        <f>IFERROR(IF($B8="","",$G8-$D8),"")</f>
        <v/>
      </c>
      <c r="I8" s="34">
        <f>IFERROR(IF($B8="","",$H8/$G8),"")</f>
        <v/>
      </c>
      <c r="J8" s="33">
        <f>IF($B8="","",INICIO!$C$9)</f>
        <v/>
      </c>
      <c r="K8" s="17">
        <f>IFERROR(IF($B8="","",$D8/(1-$J8)*(1+$F8)),"")</f>
        <v/>
      </c>
      <c r="L8" s="24">
        <f>IF($B8="","",IF($I8&lt;0,"PIERDE PLATA",IF($I8&lt;0.5,"MARGEN BAJO",IF($I8&lt;0.65,"ACEPTABLE","EXCELENTE"))))</f>
        <v/>
      </c>
    </row>
    <row r="9">
      <c r="A9" s="29" t="n">
        <v>5</v>
      </c>
      <c r="B9" s="28" t="inlineStr">
        <is>
          <t>Coco c/alcohol</t>
        </is>
      </c>
      <c r="C9" s="28" t="inlineStr">
        <is>
          <t>Granizado maquina</t>
        </is>
      </c>
      <c r="D9" s="17">
        <f>IF($B9="","",SUMIFS(RECETAS!$G$5:$G$254,RECETAS!$B$5:$B$254,$B9)+IFERROR(INDEX(COMBOS!$K$5:$K$24,MATCH($B9,COMBOS!$B$5:$B$24,0)),0))</f>
        <v/>
      </c>
      <c r="E9" s="31" t="n">
        <v>2</v>
      </c>
      <c r="F9" s="33">
        <f>IF($B9="","",INICIO!$C$5)</f>
        <v/>
      </c>
      <c r="G9" s="17">
        <f>IFERROR(IF($B9="","",$E9/(1+$F9)),"")</f>
        <v/>
      </c>
      <c r="H9" s="30">
        <f>IFERROR(IF($B9="","",$G9-$D9),"")</f>
        <v/>
      </c>
      <c r="I9" s="34">
        <f>IFERROR(IF($B9="","",$H9/$G9),"")</f>
        <v/>
      </c>
      <c r="J9" s="33">
        <f>IF($B9="","",INICIO!$C$9)</f>
        <v/>
      </c>
      <c r="K9" s="17">
        <f>IFERROR(IF($B9="","",$D9/(1-$J9)*(1+$F9)),"")</f>
        <v/>
      </c>
      <c r="L9" s="24">
        <f>IF($B9="","",IF($I9&lt;0,"PIERDE PLATA",IF($I9&lt;0.5,"MARGEN BAJO",IF($I9&lt;0.65,"ACEPTABLE","EXCELENTE"))))</f>
        <v/>
      </c>
    </row>
    <row r="10">
      <c r="A10" s="29" t="n">
        <v>6</v>
      </c>
      <c r="B10" s="28" t="inlineStr">
        <is>
          <t>Frutos Rojos c/alcohol</t>
        </is>
      </c>
      <c r="C10" s="28" t="inlineStr">
        <is>
          <t>Granizado maquina</t>
        </is>
      </c>
      <c r="D10" s="17">
        <f>IF($B10="","",SUMIFS(RECETAS!$G$5:$G$254,RECETAS!$B$5:$B$254,$B10)+IFERROR(INDEX(COMBOS!$K$5:$K$24,MATCH($B10,COMBOS!$B$5:$B$24,0)),0))</f>
        <v/>
      </c>
      <c r="E10" s="31" t="n">
        <v>2</v>
      </c>
      <c r="F10" s="33">
        <f>IF($B10="","",INICIO!$C$5)</f>
        <v/>
      </c>
      <c r="G10" s="17">
        <f>IFERROR(IF($B10="","",$E10/(1+$F10)),"")</f>
        <v/>
      </c>
      <c r="H10" s="30">
        <f>IFERROR(IF($B10="","",$G10-$D10),"")</f>
        <v/>
      </c>
      <c r="I10" s="34">
        <f>IFERROR(IF($B10="","",$H10/$G10),"")</f>
        <v/>
      </c>
      <c r="J10" s="33">
        <f>IF($B10="","",INICIO!$C$9)</f>
        <v/>
      </c>
      <c r="K10" s="17">
        <f>IFERROR(IF($B10="","",$D10/(1-$J10)*(1+$F10)),"")</f>
        <v/>
      </c>
      <c r="L10" s="24">
        <f>IF($B10="","",IF($I10&lt;0,"PIERDE PLATA",IF($I10&lt;0.5,"MARGEN BAJO",IF($I10&lt;0.65,"ACEPTABLE","EXCELENTE"))))</f>
        <v/>
      </c>
    </row>
    <row r="11">
      <c r="A11" s="29" t="n">
        <v>7</v>
      </c>
      <c r="B11" s="28" t="inlineStr">
        <is>
          <t>Maracuya c/alcohol</t>
        </is>
      </c>
      <c r="C11" s="28" t="inlineStr">
        <is>
          <t>Granizado maquina</t>
        </is>
      </c>
      <c r="D11" s="17">
        <f>IF($B11="","",SUMIFS(RECETAS!$G$5:$G$254,RECETAS!$B$5:$B$254,$B11)+IFERROR(INDEX(COMBOS!$K$5:$K$24,MATCH($B11,COMBOS!$B$5:$B$24,0)),0))</f>
        <v/>
      </c>
      <c r="E11" s="31" t="n">
        <v>2</v>
      </c>
      <c r="F11" s="33">
        <f>IF($B11="","",INICIO!$C$5)</f>
        <v/>
      </c>
      <c r="G11" s="17">
        <f>IFERROR(IF($B11="","",$E11/(1+$F11)),"")</f>
        <v/>
      </c>
      <c r="H11" s="30">
        <f>IFERROR(IF($B11="","",$G11-$D11),"")</f>
        <v/>
      </c>
      <c r="I11" s="34">
        <f>IFERROR(IF($B11="","",$H11/$G11),"")</f>
        <v/>
      </c>
      <c r="J11" s="33">
        <f>IF($B11="","",INICIO!$C$9)</f>
        <v/>
      </c>
      <c r="K11" s="17">
        <f>IFERROR(IF($B11="","",$D11/(1-$J11)*(1+$F11)),"")</f>
        <v/>
      </c>
      <c r="L11" s="24">
        <f>IF($B11="","",IF($I11&lt;0,"PIERDE PLATA",IF($I11&lt;0.5,"MARGEN BAJO",IF($I11&lt;0.65,"ACEPTABLE","EXCELENTE"))))</f>
        <v/>
      </c>
    </row>
    <row r="12">
      <c r="A12" s="29" t="n">
        <v>8</v>
      </c>
      <c r="B12" s="28" t="inlineStr">
        <is>
          <t>Naranja c/alcohol</t>
        </is>
      </c>
      <c r="C12" s="28" t="inlineStr">
        <is>
          <t>Granizado maquina</t>
        </is>
      </c>
      <c r="D12" s="17">
        <f>IF($B12="","",SUMIFS(RECETAS!$G$5:$G$254,RECETAS!$B$5:$B$254,$B12)+IFERROR(INDEX(COMBOS!$K$5:$K$24,MATCH($B12,COMBOS!$B$5:$B$24,0)),0))</f>
        <v/>
      </c>
      <c r="E12" s="31" t="n">
        <v>2</v>
      </c>
      <c r="F12" s="33">
        <f>IF($B12="","",INICIO!$C$5)</f>
        <v/>
      </c>
      <c r="G12" s="17">
        <f>IFERROR(IF($B12="","",$E12/(1+$F12)),"")</f>
        <v/>
      </c>
      <c r="H12" s="30">
        <f>IFERROR(IF($B12="","",$G12-$D12),"")</f>
        <v/>
      </c>
      <c r="I12" s="34">
        <f>IFERROR(IF($B12="","",$H12/$G12),"")</f>
        <v/>
      </c>
      <c r="J12" s="33">
        <f>IF($B12="","",INICIO!$C$9)</f>
        <v/>
      </c>
      <c r="K12" s="17">
        <f>IFERROR(IF($B12="","",$D12/(1-$J12)*(1+$F12)),"")</f>
        <v/>
      </c>
      <c r="L12" s="24">
        <f>IF($B12="","",IF($I12&lt;0,"PIERDE PLATA",IF($I12&lt;0.5,"MARGEN BAJO",IF($I12&lt;0.65,"ACEPTABLE","EXCELENTE"))))</f>
        <v/>
      </c>
    </row>
    <row r="13">
      <c r="A13" s="29" t="n">
        <v>9</v>
      </c>
      <c r="B13" s="28" t="inlineStr">
        <is>
          <t>Oreo s/alcohol</t>
        </is>
      </c>
      <c r="C13" s="28" t="inlineStr">
        <is>
          <t>Granizado especial</t>
        </is>
      </c>
      <c r="D13" s="17">
        <f>IF($B13="","",SUMIFS(RECETAS!$G$5:$G$254,RECETAS!$B$5:$B$254,$B13)+IFERROR(INDEX(COMBOS!$K$5:$K$24,MATCH($B13,COMBOS!$B$5:$B$24,0)),0))</f>
        <v/>
      </c>
      <c r="E13" s="31" t="n">
        <v>3</v>
      </c>
      <c r="F13" s="33">
        <f>IF($B13="","",INICIO!$C$5)</f>
        <v/>
      </c>
      <c r="G13" s="17">
        <f>IFERROR(IF($B13="","",$E13/(1+$F13)),"")</f>
        <v/>
      </c>
      <c r="H13" s="30">
        <f>IFERROR(IF($B13="","",$G13-$D13),"")</f>
        <v/>
      </c>
      <c r="I13" s="34">
        <f>IFERROR(IF($B13="","",$H13/$G13),"")</f>
        <v/>
      </c>
      <c r="J13" s="33">
        <f>IF($B13="","",INICIO!$C$9)</f>
        <v/>
      </c>
      <c r="K13" s="17">
        <f>IFERROR(IF($B13="","",$D13/(1-$J13)*(1+$F13)),"")</f>
        <v/>
      </c>
      <c r="L13" s="24">
        <f>IF($B13="","",IF($I13&lt;0,"PIERDE PLATA",IF($I13&lt;0.5,"MARGEN BAJO",IF($I13&lt;0.65,"ACEPTABLE","EXCELENTE"))))</f>
        <v/>
      </c>
    </row>
    <row r="14">
      <c r="A14" s="29" t="n">
        <v>10</v>
      </c>
      <c r="B14" s="28" t="inlineStr">
        <is>
          <t>Nutella s/alcohol</t>
        </is>
      </c>
      <c r="C14" s="28" t="inlineStr">
        <is>
          <t>Granizado especial</t>
        </is>
      </c>
      <c r="D14" s="17">
        <f>IF($B14="","",SUMIFS(RECETAS!$G$5:$G$254,RECETAS!$B$5:$B$254,$B14)+IFERROR(INDEX(COMBOS!$K$5:$K$24,MATCH($B14,COMBOS!$B$5:$B$24,0)),0))</f>
        <v/>
      </c>
      <c r="E14" s="31" t="n">
        <v>3</v>
      </c>
      <c r="F14" s="33">
        <f>IF($B14="","",INICIO!$C$5)</f>
        <v/>
      </c>
      <c r="G14" s="17">
        <f>IFERROR(IF($B14="","",$E14/(1+$F14)),"")</f>
        <v/>
      </c>
      <c r="H14" s="30">
        <f>IFERROR(IF($B14="","",$G14-$D14),"")</f>
        <v/>
      </c>
      <c r="I14" s="34">
        <f>IFERROR(IF($B14="","",$H14/$G14),"")</f>
        <v/>
      </c>
      <c r="J14" s="33">
        <f>IF($B14="","",INICIO!$C$9)</f>
        <v/>
      </c>
      <c r="K14" s="17">
        <f>IFERROR(IF($B14="","",$D14/(1-$J14)*(1+$F14)),"")</f>
        <v/>
      </c>
      <c r="L14" s="24">
        <f>IF($B14="","",IF($I14&lt;0,"PIERDE PLATA",IF($I14&lt;0.5,"MARGEN BAJO",IF($I14&lt;0.65,"ACEPTABLE","EXCELENTE"))))</f>
        <v/>
      </c>
    </row>
    <row r="15">
      <c r="A15" s="29" t="n">
        <v>11</v>
      </c>
      <c r="B15" s="28" t="inlineStr">
        <is>
          <t>Cafe s/alcohol</t>
        </is>
      </c>
      <c r="C15" s="28" t="inlineStr">
        <is>
          <t>Granizado especial</t>
        </is>
      </c>
      <c r="D15" s="17">
        <f>IF($B15="","",SUMIFS(RECETAS!$G$5:$G$254,RECETAS!$B$5:$B$254,$B15)+IFERROR(INDEX(COMBOS!$K$5:$K$24,MATCH($B15,COMBOS!$B$5:$B$24,0)),0))</f>
        <v/>
      </c>
      <c r="E15" s="31" t="n">
        <v>3</v>
      </c>
      <c r="F15" s="33">
        <f>IF($B15="","",INICIO!$C$5)</f>
        <v/>
      </c>
      <c r="G15" s="17">
        <f>IFERROR(IF($B15="","",$E15/(1+$F15)),"")</f>
        <v/>
      </c>
      <c r="H15" s="30">
        <f>IFERROR(IF($B15="","",$G15-$D15),"")</f>
        <v/>
      </c>
      <c r="I15" s="34">
        <f>IFERROR(IF($B15="","",$H15/$G15),"")</f>
        <v/>
      </c>
      <c r="J15" s="33">
        <f>IF($B15="","",INICIO!$C$9)</f>
        <v/>
      </c>
      <c r="K15" s="17">
        <f>IFERROR(IF($B15="","",$D15/(1-$J15)*(1+$F15)),"")</f>
        <v/>
      </c>
      <c r="L15" s="24">
        <f>IF($B15="","",IF($I15&lt;0,"PIERDE PLATA",IF($I15&lt;0.5,"MARGEN BAJO",IF($I15&lt;0.65,"ACEPTABLE","EXCELENTE"))))</f>
        <v/>
      </c>
    </row>
    <row r="16">
      <c r="A16" s="29" t="n">
        <v>12</v>
      </c>
      <c r="B16" s="28" t="inlineStr">
        <is>
          <t>Oreo c/alcohol</t>
        </is>
      </c>
      <c r="C16" s="28" t="inlineStr">
        <is>
          <t>Granizado especial</t>
        </is>
      </c>
      <c r="D16" s="17">
        <f>IF($B16="","",SUMIFS(RECETAS!$G$5:$G$254,RECETAS!$B$5:$B$254,$B16)+IFERROR(INDEX(COMBOS!$K$5:$K$24,MATCH($B16,COMBOS!$B$5:$B$24,0)),0))</f>
        <v/>
      </c>
      <c r="E16" s="31" t="n">
        <v>3.5</v>
      </c>
      <c r="F16" s="33">
        <f>IF($B16="","",INICIO!$C$5)</f>
        <v/>
      </c>
      <c r="G16" s="17">
        <f>IFERROR(IF($B16="","",$E16/(1+$F16)),"")</f>
        <v/>
      </c>
      <c r="H16" s="30">
        <f>IFERROR(IF($B16="","",$G16-$D16),"")</f>
        <v/>
      </c>
      <c r="I16" s="34">
        <f>IFERROR(IF($B16="","",$H16/$G16),"")</f>
        <v/>
      </c>
      <c r="J16" s="33">
        <f>IF($B16="","",INICIO!$C$9)</f>
        <v/>
      </c>
      <c r="K16" s="17">
        <f>IFERROR(IF($B16="","",$D16/(1-$J16)*(1+$F16)),"")</f>
        <v/>
      </c>
      <c r="L16" s="24">
        <f>IF($B16="","",IF($I16&lt;0,"PIERDE PLATA",IF($I16&lt;0.5,"MARGEN BAJO",IF($I16&lt;0.65,"ACEPTABLE","EXCELENTE"))))</f>
        <v/>
      </c>
    </row>
    <row r="17">
      <c r="A17" s="29" t="n">
        <v>13</v>
      </c>
      <c r="B17" s="28" t="inlineStr">
        <is>
          <t>Nutella c/alcohol</t>
        </is>
      </c>
      <c r="C17" s="28" t="inlineStr">
        <is>
          <t>Granizado especial</t>
        </is>
      </c>
      <c r="D17" s="17">
        <f>IF($B17="","",SUMIFS(RECETAS!$G$5:$G$254,RECETAS!$B$5:$B$254,$B17)+IFERROR(INDEX(COMBOS!$K$5:$K$24,MATCH($B17,COMBOS!$B$5:$B$24,0)),0))</f>
        <v/>
      </c>
      <c r="E17" s="31" t="n">
        <v>3.5</v>
      </c>
      <c r="F17" s="33">
        <f>IF($B17="","",INICIO!$C$5)</f>
        <v/>
      </c>
      <c r="G17" s="17">
        <f>IFERROR(IF($B17="","",$E17/(1+$F17)),"")</f>
        <v/>
      </c>
      <c r="H17" s="30">
        <f>IFERROR(IF($B17="","",$G17-$D17),"")</f>
        <v/>
      </c>
      <c r="I17" s="34">
        <f>IFERROR(IF($B17="","",$H17/$G17),"")</f>
        <v/>
      </c>
      <c r="J17" s="33">
        <f>IF($B17="","",INICIO!$C$9)</f>
        <v/>
      </c>
      <c r="K17" s="17">
        <f>IFERROR(IF($B17="","",$D17/(1-$J17)*(1+$F17)),"")</f>
        <v/>
      </c>
      <c r="L17" s="24">
        <f>IF($B17="","",IF($I17&lt;0,"PIERDE PLATA",IF($I17&lt;0.5,"MARGEN BAJO",IF($I17&lt;0.65,"ACEPTABLE","EXCELENTE"))))</f>
        <v/>
      </c>
    </row>
    <row r="18">
      <c r="A18" s="29" t="n">
        <v>14</v>
      </c>
      <c r="B18" s="28" t="inlineStr">
        <is>
          <t>Cafe c/alcohol</t>
        </is>
      </c>
      <c r="C18" s="28" t="inlineStr">
        <is>
          <t>Granizado especial</t>
        </is>
      </c>
      <c r="D18" s="17">
        <f>IF($B18="","",SUMIFS(RECETAS!$G$5:$G$254,RECETAS!$B$5:$B$254,$B18)+IFERROR(INDEX(COMBOS!$K$5:$K$24,MATCH($B18,COMBOS!$B$5:$B$24,0)),0))</f>
        <v/>
      </c>
      <c r="E18" s="31" t="n">
        <v>3.5</v>
      </c>
      <c r="F18" s="33">
        <f>IF($B18="","",INICIO!$C$5)</f>
        <v/>
      </c>
      <c r="G18" s="17">
        <f>IFERROR(IF($B18="","",$E18/(1+$F18)),"")</f>
        <v/>
      </c>
      <c r="H18" s="30">
        <f>IFERROR(IF($B18="","",$G18-$D18),"")</f>
        <v/>
      </c>
      <c r="I18" s="34">
        <f>IFERROR(IF($B18="","",$H18/$G18),"")</f>
        <v/>
      </c>
      <c r="J18" s="33">
        <f>IF($B18="","",INICIO!$C$9)</f>
        <v/>
      </c>
      <c r="K18" s="17">
        <f>IFERROR(IF($B18="","",$D18/(1-$J18)*(1+$F18)),"")</f>
        <v/>
      </c>
      <c r="L18" s="24">
        <f>IF($B18="","",IF($I18&lt;0,"PIERDE PLATA",IF($I18&lt;0.5,"MARGEN BAJO",IF($I18&lt;0.65,"ACEPTABLE","EXCELENTE"))))</f>
        <v/>
      </c>
    </row>
    <row r="19">
      <c r="A19" s="29" t="n">
        <v>15</v>
      </c>
      <c r="B19" s="28" t="inlineStr">
        <is>
          <t>Papas en cono natural</t>
        </is>
      </c>
      <c r="C19" s="28" t="inlineStr">
        <is>
          <t>Comida</t>
        </is>
      </c>
      <c r="D19" s="17">
        <f>IF($B19="","",SUMIFS(RECETAS!$G$5:$G$254,RECETAS!$B$5:$B$254,$B19)+IFERROR(INDEX(COMBOS!$K$5:$K$24,MATCH($B19,COMBOS!$B$5:$B$24,0)),0))</f>
        <v/>
      </c>
      <c r="E19" s="31" t="n">
        <v>1.5</v>
      </c>
      <c r="F19" s="33">
        <f>IF($B19="","",INICIO!$C$5)</f>
        <v/>
      </c>
      <c r="G19" s="17">
        <f>IFERROR(IF($B19="","",$E19/(1+$F19)),"")</f>
        <v/>
      </c>
      <c r="H19" s="30">
        <f>IFERROR(IF($B19="","",$G19-$D19),"")</f>
        <v/>
      </c>
      <c r="I19" s="34">
        <f>IFERROR(IF($B19="","",$H19/$G19),"")</f>
        <v/>
      </c>
      <c r="J19" s="33">
        <f>IF($B19="","",INICIO!$C$9)</f>
        <v/>
      </c>
      <c r="K19" s="17">
        <f>IFERROR(IF($B19="","",$D19/(1-$J19)*(1+$F19)),"")</f>
        <v/>
      </c>
      <c r="L19" s="24">
        <f>IF($B19="","",IF($I19&lt;0,"PIERDE PLATA",IF($I19&lt;0.5,"MARGEN BAJO",IF($I19&lt;0.65,"ACEPTABLE","EXCELENTE"))))</f>
        <v/>
      </c>
    </row>
    <row r="20">
      <c r="A20" s="29" t="n">
        <v>16</v>
      </c>
      <c r="B20" s="28" t="inlineStr">
        <is>
          <t>Papas en cono + salsa</t>
        </is>
      </c>
      <c r="C20" s="28" t="inlineStr">
        <is>
          <t>Comida</t>
        </is>
      </c>
      <c r="D20" s="17">
        <f>IF($B20="","",SUMIFS(RECETAS!$G$5:$G$254,RECETAS!$B$5:$B$254,$B20)+IFERROR(INDEX(COMBOS!$K$5:$K$24,MATCH($B20,COMBOS!$B$5:$B$24,0)),0))</f>
        <v/>
      </c>
      <c r="E20" s="31" t="n">
        <v>2</v>
      </c>
      <c r="F20" s="33">
        <f>IF($B20="","",INICIO!$C$5)</f>
        <v/>
      </c>
      <c r="G20" s="17">
        <f>IFERROR(IF($B20="","",$E20/(1+$F20)),"")</f>
        <v/>
      </c>
      <c r="H20" s="30">
        <f>IFERROR(IF($B20="","",$G20-$D20),"")</f>
        <v/>
      </c>
      <c r="I20" s="34">
        <f>IFERROR(IF($B20="","",$H20/$G20),"")</f>
        <v/>
      </c>
      <c r="J20" s="33">
        <f>IF($B20="","",INICIO!$C$9)</f>
        <v/>
      </c>
      <c r="K20" s="17">
        <f>IFERROR(IF($B20="","",$D20/(1-$J20)*(1+$F20)),"")</f>
        <v/>
      </c>
      <c r="L20" s="24">
        <f>IF($B20="","",IF($I20&lt;0,"PIERDE PLATA",IF($I20&lt;0.5,"MARGEN BAJO",IF($I20&lt;0.65,"ACEPTABLE","EXCELENTE"))))</f>
        <v/>
      </c>
    </row>
    <row r="21">
      <c r="A21" s="29" t="n">
        <v>17</v>
      </c>
      <c r="B21" s="28" t="inlineStr">
        <is>
          <t>Combo Pareja</t>
        </is>
      </c>
      <c r="C21" s="28" t="inlineStr">
        <is>
          <t>Combo</t>
        </is>
      </c>
      <c r="D21" s="17">
        <f>IF($B21="","",SUMIFS(RECETAS!$G$5:$G$254,RECETAS!$B$5:$B$254,$B21)+IFERROR(INDEX(COMBOS!$K$5:$K$24,MATCH($B21,COMBOS!$B$5:$B$24,0)),0))</f>
        <v/>
      </c>
      <c r="E21" s="31" t="n">
        <v>5</v>
      </c>
      <c r="F21" s="33">
        <f>IF($B21="","",INICIO!$C$5)</f>
        <v/>
      </c>
      <c r="G21" s="17">
        <f>IFERROR(IF($B21="","",$E21/(1+$F21)),"")</f>
        <v/>
      </c>
      <c r="H21" s="30">
        <f>IFERROR(IF($B21="","",$G21-$D21),"")</f>
        <v/>
      </c>
      <c r="I21" s="34">
        <f>IFERROR(IF($B21="","",$H21/$G21),"")</f>
        <v/>
      </c>
      <c r="J21" s="33">
        <f>IF($B21="","",INICIO!$C$9)</f>
        <v/>
      </c>
      <c r="K21" s="17">
        <f>IFERROR(IF($B21="","",$D21/(1-$J21)*(1+$F21)),"")</f>
        <v/>
      </c>
      <c r="L21" s="24">
        <f>IF($B21="","",IF($I21&lt;0,"PIERDE PLATA",IF($I21&lt;0.5,"MARGEN BAJO",IF($I21&lt;0.65,"ACEPTABLE","EXCELENTE"))))</f>
        <v/>
      </c>
    </row>
    <row r="22">
      <c r="A22" s="29" t="n">
        <v>18</v>
      </c>
      <c r="B22" s="28" t="inlineStr">
        <is>
          <t>Combo Amigos (4 granizados)</t>
        </is>
      </c>
      <c r="C22" s="28" t="inlineStr">
        <is>
          <t>Combo</t>
        </is>
      </c>
      <c r="D22" s="17">
        <f>IF($B22="","",SUMIFS(RECETAS!$G$5:$G$254,RECETAS!$B$5:$B$254,$B22)+IFERROR(INDEX(COMBOS!$K$5:$K$24,MATCH($B22,COMBOS!$B$5:$B$24,0)),0))</f>
        <v/>
      </c>
      <c r="E22" s="31" t="n">
        <v>5</v>
      </c>
      <c r="F22" s="33">
        <f>IF($B22="","",INICIO!$C$5)</f>
        <v/>
      </c>
      <c r="G22" s="17">
        <f>IFERROR(IF($B22="","",$E22/(1+$F22)),"")</f>
        <v/>
      </c>
      <c r="H22" s="30">
        <f>IFERROR(IF($B22="","",$G22-$D22),"")</f>
        <v/>
      </c>
      <c r="I22" s="34">
        <f>IFERROR(IF($B22="","",$H22/$G22),"")</f>
        <v/>
      </c>
      <c r="J22" s="33">
        <f>IF($B22="","",INICIO!$C$9)</f>
        <v/>
      </c>
      <c r="K22" s="17">
        <f>IFERROR(IF($B22="","",$D22/(1-$J22)*(1+$F22)),"")</f>
        <v/>
      </c>
      <c r="L22" s="24">
        <f>IF($B22="","",IF($I22&lt;0,"PIERDE PLATA",IF($I22&lt;0.5,"MARGEN BAJO",IF($I22&lt;0.65,"ACEPTABLE","EXCELENTE"))))</f>
        <v/>
      </c>
    </row>
    <row r="23">
      <c r="A23" s="29" t="n">
        <v>19</v>
      </c>
      <c r="B23" s="28" t="inlineStr">
        <is>
          <t>Combo Premium</t>
        </is>
      </c>
      <c r="C23" s="28" t="inlineStr">
        <is>
          <t>Combo</t>
        </is>
      </c>
      <c r="D23" s="17">
        <f>IF($B23="","",SUMIFS(RECETAS!$G$5:$G$254,RECETAS!$B$5:$B$254,$B23)+IFERROR(INDEX(COMBOS!$K$5:$K$24,MATCH($B23,COMBOS!$B$5:$B$24,0)),0))</f>
        <v/>
      </c>
      <c r="E23" s="31" t="n">
        <v>7.5</v>
      </c>
      <c r="F23" s="33">
        <f>IF($B23="","",INICIO!$C$5)</f>
        <v/>
      </c>
      <c r="G23" s="17">
        <f>IFERROR(IF($B23="","",$E23/(1+$F23)),"")</f>
        <v/>
      </c>
      <c r="H23" s="30">
        <f>IFERROR(IF($B23="","",$G23-$D23),"")</f>
        <v/>
      </c>
      <c r="I23" s="34">
        <f>IFERROR(IF($B23="","",$H23/$G23),"")</f>
        <v/>
      </c>
      <c r="J23" s="33">
        <f>IF($B23="","",INICIO!$C$9)</f>
        <v/>
      </c>
      <c r="K23" s="17">
        <f>IFERROR(IF($B23="","",$D23/(1-$J23)*(1+$F23)),"")</f>
        <v/>
      </c>
      <c r="L23" s="24">
        <f>IF($B23="","",IF($I23&lt;0,"PIERDE PLATA",IF($I23&lt;0.5,"MARGEN BAJO",IF($I23&lt;0.65,"ACEPTABLE","EXCELENTE"))))</f>
        <v/>
      </c>
    </row>
    <row r="24">
      <c r="A24" s="29" t="n">
        <v>20</v>
      </c>
      <c r="B24" s="28" t="inlineStr">
        <is>
          <t>Combo Solo</t>
        </is>
      </c>
      <c r="C24" s="28" t="inlineStr">
        <is>
          <t>Combo</t>
        </is>
      </c>
      <c r="D24" s="17">
        <f>IF($B24="","",SUMIFS(RECETAS!$G$5:$G$254,RECETAS!$B$5:$B$254,$B24)+IFERROR(INDEX(COMBOS!$K$5:$K$24,MATCH($B24,COMBOS!$B$5:$B$24,0)),0))</f>
        <v/>
      </c>
      <c r="E24" s="31" t="n">
        <v>2.5</v>
      </c>
      <c r="F24" s="33">
        <f>IF($B24="","",INICIO!$C$5)</f>
        <v/>
      </c>
      <c r="G24" s="17">
        <f>IFERROR(IF($B24="","",$E24/(1+$F24)),"")</f>
        <v/>
      </c>
      <c r="H24" s="30">
        <f>IFERROR(IF($B24="","",$G24-$D24),"")</f>
        <v/>
      </c>
      <c r="I24" s="34">
        <f>IFERROR(IF($B24="","",$H24/$G24),"")</f>
        <v/>
      </c>
      <c r="J24" s="33">
        <f>IF($B24="","",INICIO!$C$9)</f>
        <v/>
      </c>
      <c r="K24" s="17">
        <f>IFERROR(IF($B24="","",$D24/(1-$J24)*(1+$F24)),"")</f>
        <v/>
      </c>
      <c r="L24" s="24">
        <f>IF($B24="","",IF($I24&lt;0,"PIERDE PLATA",IF($I24&lt;0.5,"MARGEN BAJO",IF($I24&lt;0.65,"ACEPTABLE","EXCELENTE"))))</f>
        <v/>
      </c>
    </row>
    <row r="25">
      <c r="A25" s="29" t="n"/>
      <c r="B25" s="28" t="n"/>
      <c r="C25" s="28" t="n"/>
      <c r="D25" s="17">
        <f>IF($B25="","",SUMIFS(RECETAS!$G$5:$G$254,RECETAS!$B$5:$B$254,$B25)+IFERROR(INDEX(COMBOS!$K$5:$K$24,MATCH($B25,COMBOS!$B$5:$B$24,0)),0))</f>
        <v/>
      </c>
      <c r="E25" s="31" t="n"/>
      <c r="F25" s="33">
        <f>IF($B25="","",INICIO!$C$5)</f>
        <v/>
      </c>
      <c r="G25" s="17">
        <f>IFERROR(IF($B25="","",$E25/(1+$F25)),"")</f>
        <v/>
      </c>
      <c r="H25" s="30">
        <f>IFERROR(IF($B25="","",$G25-$D25),"")</f>
        <v/>
      </c>
      <c r="I25" s="34">
        <f>IFERROR(IF($B25="","",$H25/$G25),"")</f>
        <v/>
      </c>
      <c r="J25" s="33">
        <f>IF($B25="","",INICIO!$C$9)</f>
        <v/>
      </c>
      <c r="K25" s="17">
        <f>IFERROR(IF($B25="","",$D25/(1-$J25)*(1+$F25)),"")</f>
        <v/>
      </c>
      <c r="L25" s="24">
        <f>IF($B25="","",IF($I25&lt;0,"PIERDE PLATA",IF($I25&lt;0.5,"MARGEN BAJO",IF($I25&lt;0.65,"ACEPTABLE","EXCELENTE"))))</f>
        <v/>
      </c>
    </row>
    <row r="26">
      <c r="A26" s="29" t="n"/>
      <c r="B26" s="28" t="n"/>
      <c r="C26" s="28" t="n"/>
      <c r="D26" s="17">
        <f>IF($B26="","",SUMIFS(RECETAS!$G$5:$G$254,RECETAS!$B$5:$B$254,$B26)+IFERROR(INDEX(COMBOS!$K$5:$K$24,MATCH($B26,COMBOS!$B$5:$B$24,0)),0))</f>
        <v/>
      </c>
      <c r="E26" s="31" t="n"/>
      <c r="F26" s="33">
        <f>IF($B26="","",INICIO!$C$5)</f>
        <v/>
      </c>
      <c r="G26" s="17">
        <f>IFERROR(IF($B26="","",$E26/(1+$F26)),"")</f>
        <v/>
      </c>
      <c r="H26" s="30">
        <f>IFERROR(IF($B26="","",$G26-$D26),"")</f>
        <v/>
      </c>
      <c r="I26" s="34">
        <f>IFERROR(IF($B26="","",$H26/$G26),"")</f>
        <v/>
      </c>
      <c r="J26" s="33">
        <f>IF($B26="","",INICIO!$C$9)</f>
        <v/>
      </c>
      <c r="K26" s="17">
        <f>IFERROR(IF($B26="","",$D26/(1-$J26)*(1+$F26)),"")</f>
        <v/>
      </c>
      <c r="L26" s="24">
        <f>IF($B26="","",IF($I26&lt;0,"PIERDE PLATA",IF($I26&lt;0.5,"MARGEN BAJO",IF($I26&lt;0.65,"ACEPTABLE","EXCELENTE"))))</f>
        <v/>
      </c>
    </row>
    <row r="27">
      <c r="A27" s="29" t="n"/>
      <c r="B27" s="28" t="n"/>
      <c r="C27" s="28" t="n"/>
      <c r="D27" s="17">
        <f>IF($B27="","",SUMIFS(RECETAS!$G$5:$G$254,RECETAS!$B$5:$B$254,$B27)+IFERROR(INDEX(COMBOS!$K$5:$K$24,MATCH($B27,COMBOS!$B$5:$B$24,0)),0))</f>
        <v/>
      </c>
      <c r="E27" s="31" t="n"/>
      <c r="F27" s="33">
        <f>IF($B27="","",INICIO!$C$5)</f>
        <v/>
      </c>
      <c r="G27" s="17">
        <f>IFERROR(IF($B27="","",$E27/(1+$F27)),"")</f>
        <v/>
      </c>
      <c r="H27" s="30">
        <f>IFERROR(IF($B27="","",$G27-$D27),"")</f>
        <v/>
      </c>
      <c r="I27" s="34">
        <f>IFERROR(IF($B27="","",$H27/$G27),"")</f>
        <v/>
      </c>
      <c r="J27" s="33">
        <f>IF($B27="","",INICIO!$C$9)</f>
        <v/>
      </c>
      <c r="K27" s="17">
        <f>IFERROR(IF($B27="","",$D27/(1-$J27)*(1+$F27)),"")</f>
        <v/>
      </c>
      <c r="L27" s="24">
        <f>IF($B27="","",IF($I27&lt;0,"PIERDE PLATA",IF($I27&lt;0.5,"MARGEN BAJO",IF($I27&lt;0.65,"ACEPTABLE","EXCELENTE"))))</f>
        <v/>
      </c>
    </row>
    <row r="28">
      <c r="A28" s="29" t="n"/>
      <c r="B28" s="28" t="n"/>
      <c r="C28" s="28" t="n"/>
      <c r="D28" s="17">
        <f>IF($B28="","",SUMIFS(RECETAS!$G$5:$G$254,RECETAS!$B$5:$B$254,$B28)+IFERROR(INDEX(COMBOS!$K$5:$K$24,MATCH($B28,COMBOS!$B$5:$B$24,0)),0))</f>
        <v/>
      </c>
      <c r="E28" s="31" t="n"/>
      <c r="F28" s="33">
        <f>IF($B28="","",INICIO!$C$5)</f>
        <v/>
      </c>
      <c r="G28" s="17">
        <f>IFERROR(IF($B28="","",$E28/(1+$F28)),"")</f>
        <v/>
      </c>
      <c r="H28" s="30">
        <f>IFERROR(IF($B28="","",$G28-$D28),"")</f>
        <v/>
      </c>
      <c r="I28" s="34">
        <f>IFERROR(IF($B28="","",$H28/$G28),"")</f>
        <v/>
      </c>
      <c r="J28" s="33">
        <f>IF($B28="","",INICIO!$C$9)</f>
        <v/>
      </c>
      <c r="K28" s="17">
        <f>IFERROR(IF($B28="","",$D28/(1-$J28)*(1+$F28)),"")</f>
        <v/>
      </c>
      <c r="L28" s="24">
        <f>IF($B28="","",IF($I28&lt;0,"PIERDE PLATA",IF($I28&lt;0.5,"MARGEN BAJO",IF($I28&lt;0.65,"ACEPTABLE","EXCELENTE"))))</f>
        <v/>
      </c>
    </row>
    <row r="29">
      <c r="A29" s="29" t="n"/>
      <c r="B29" s="28" t="n"/>
      <c r="C29" s="28" t="n"/>
      <c r="D29" s="17">
        <f>IF($B29="","",SUMIFS(RECETAS!$G$5:$G$254,RECETAS!$B$5:$B$254,$B29)+IFERROR(INDEX(COMBOS!$K$5:$K$24,MATCH($B29,COMBOS!$B$5:$B$24,0)),0))</f>
        <v/>
      </c>
      <c r="E29" s="31" t="n"/>
      <c r="F29" s="33">
        <f>IF($B29="","",INICIO!$C$5)</f>
        <v/>
      </c>
      <c r="G29" s="17">
        <f>IFERROR(IF($B29="","",$E29/(1+$F29)),"")</f>
        <v/>
      </c>
      <c r="H29" s="30">
        <f>IFERROR(IF($B29="","",$G29-$D29),"")</f>
        <v/>
      </c>
      <c r="I29" s="34">
        <f>IFERROR(IF($B29="","",$H29/$G29),"")</f>
        <v/>
      </c>
      <c r="J29" s="33">
        <f>IF($B29="","",INICIO!$C$9)</f>
        <v/>
      </c>
      <c r="K29" s="17">
        <f>IFERROR(IF($B29="","",$D29/(1-$J29)*(1+$F29)),"")</f>
        <v/>
      </c>
      <c r="L29" s="24">
        <f>IF($B29="","",IF($I29&lt;0,"PIERDE PLATA",IF($I29&lt;0.5,"MARGEN BAJO",IF($I29&lt;0.65,"ACEPTABLE","EXCELENTE"))))</f>
        <v/>
      </c>
    </row>
    <row r="30">
      <c r="A30" s="29" t="n"/>
      <c r="B30" s="28" t="n"/>
      <c r="C30" s="28" t="n"/>
      <c r="D30" s="17">
        <f>IF($B30="","",SUMIFS(RECETAS!$G$5:$G$254,RECETAS!$B$5:$B$254,$B30)+IFERROR(INDEX(COMBOS!$K$5:$K$24,MATCH($B30,COMBOS!$B$5:$B$24,0)),0))</f>
        <v/>
      </c>
      <c r="E30" s="31" t="n"/>
      <c r="F30" s="33">
        <f>IF($B30="","",INICIO!$C$5)</f>
        <v/>
      </c>
      <c r="G30" s="17">
        <f>IFERROR(IF($B30="","",$E30/(1+$F30)),"")</f>
        <v/>
      </c>
      <c r="H30" s="30">
        <f>IFERROR(IF($B30="","",$G30-$D30),"")</f>
        <v/>
      </c>
      <c r="I30" s="34">
        <f>IFERROR(IF($B30="","",$H30/$G30),"")</f>
        <v/>
      </c>
      <c r="J30" s="33">
        <f>IF($B30="","",INICIO!$C$9)</f>
        <v/>
      </c>
      <c r="K30" s="17">
        <f>IFERROR(IF($B30="","",$D30/(1-$J30)*(1+$F30)),"")</f>
        <v/>
      </c>
      <c r="L30" s="24">
        <f>IF($B30="","",IF($I30&lt;0,"PIERDE PLATA",IF($I30&lt;0.5,"MARGEN BAJO",IF($I30&lt;0.65,"ACEPTABLE","EXCELENTE"))))</f>
        <v/>
      </c>
    </row>
    <row r="31">
      <c r="A31" s="29" t="n"/>
      <c r="B31" s="28" t="n"/>
      <c r="C31" s="28" t="n"/>
      <c r="D31" s="17">
        <f>IF($B31="","",SUMIFS(RECETAS!$G$5:$G$254,RECETAS!$B$5:$B$254,$B31)+IFERROR(INDEX(COMBOS!$K$5:$K$24,MATCH($B31,COMBOS!$B$5:$B$24,0)),0))</f>
        <v/>
      </c>
      <c r="E31" s="31" t="n"/>
      <c r="F31" s="33">
        <f>IF($B31="","",INICIO!$C$5)</f>
        <v/>
      </c>
      <c r="G31" s="17">
        <f>IFERROR(IF($B31="","",$E31/(1+$F31)),"")</f>
        <v/>
      </c>
      <c r="H31" s="30">
        <f>IFERROR(IF($B31="","",$G31-$D31),"")</f>
        <v/>
      </c>
      <c r="I31" s="34">
        <f>IFERROR(IF($B31="","",$H31/$G31),"")</f>
        <v/>
      </c>
      <c r="J31" s="33">
        <f>IF($B31="","",INICIO!$C$9)</f>
        <v/>
      </c>
      <c r="K31" s="17">
        <f>IFERROR(IF($B31="","",$D31/(1-$J31)*(1+$F31)),"")</f>
        <v/>
      </c>
      <c r="L31" s="24">
        <f>IF($B31="","",IF($I31&lt;0,"PIERDE PLATA",IF($I31&lt;0.5,"MARGEN BAJO",IF($I31&lt;0.65,"ACEPTABLE","EXCELENTE"))))</f>
        <v/>
      </c>
    </row>
    <row r="32">
      <c r="A32" s="29" t="n"/>
      <c r="B32" s="28" t="n"/>
      <c r="C32" s="28" t="n"/>
      <c r="D32" s="17">
        <f>IF($B32="","",SUMIFS(RECETAS!$G$5:$G$254,RECETAS!$B$5:$B$254,$B32)+IFERROR(INDEX(COMBOS!$K$5:$K$24,MATCH($B32,COMBOS!$B$5:$B$24,0)),0))</f>
        <v/>
      </c>
      <c r="E32" s="31" t="n"/>
      <c r="F32" s="33">
        <f>IF($B32="","",INICIO!$C$5)</f>
        <v/>
      </c>
      <c r="G32" s="17">
        <f>IFERROR(IF($B32="","",$E32/(1+$F32)),"")</f>
        <v/>
      </c>
      <c r="H32" s="30">
        <f>IFERROR(IF($B32="","",$G32-$D32),"")</f>
        <v/>
      </c>
      <c r="I32" s="34">
        <f>IFERROR(IF($B32="","",$H32/$G32),"")</f>
        <v/>
      </c>
      <c r="J32" s="33">
        <f>IF($B32="","",INICIO!$C$9)</f>
        <v/>
      </c>
      <c r="K32" s="17">
        <f>IFERROR(IF($B32="","",$D32/(1-$J32)*(1+$F32)),"")</f>
        <v/>
      </c>
      <c r="L32" s="24">
        <f>IF($B32="","",IF($I32&lt;0,"PIERDE PLATA",IF($I32&lt;0.5,"MARGEN BAJO",IF($I32&lt;0.65,"ACEPTABLE","EXCELENTE"))))</f>
        <v/>
      </c>
    </row>
    <row r="33">
      <c r="A33" s="29" t="n"/>
      <c r="B33" s="28" t="n"/>
      <c r="C33" s="28" t="n"/>
      <c r="D33" s="17">
        <f>IF($B33="","",SUMIFS(RECETAS!$G$5:$G$254,RECETAS!$B$5:$B$254,$B33)+IFERROR(INDEX(COMBOS!$K$5:$K$24,MATCH($B33,COMBOS!$B$5:$B$24,0)),0))</f>
        <v/>
      </c>
      <c r="E33" s="31" t="n"/>
      <c r="F33" s="33">
        <f>IF($B33="","",INICIO!$C$5)</f>
        <v/>
      </c>
      <c r="G33" s="17">
        <f>IFERROR(IF($B33="","",$E33/(1+$F33)),"")</f>
        <v/>
      </c>
      <c r="H33" s="30">
        <f>IFERROR(IF($B33="","",$G33-$D33),"")</f>
        <v/>
      </c>
      <c r="I33" s="34">
        <f>IFERROR(IF($B33="","",$H33/$G33),"")</f>
        <v/>
      </c>
      <c r="J33" s="33">
        <f>IF($B33="","",INICIO!$C$9)</f>
        <v/>
      </c>
      <c r="K33" s="17">
        <f>IFERROR(IF($B33="","",$D33/(1-$J33)*(1+$F33)),"")</f>
        <v/>
      </c>
      <c r="L33" s="24">
        <f>IF($B33="","",IF($I33&lt;0,"PIERDE PLATA",IF($I33&lt;0.5,"MARGEN BAJO",IF($I33&lt;0.65,"ACEPTABLE","EXCELENTE"))))</f>
        <v/>
      </c>
    </row>
    <row r="34">
      <c r="A34" s="29" t="n"/>
      <c r="B34" s="28" t="n"/>
      <c r="C34" s="28" t="n"/>
      <c r="D34" s="17">
        <f>IF($B34="","",SUMIFS(RECETAS!$G$5:$G$254,RECETAS!$B$5:$B$254,$B34)+IFERROR(INDEX(COMBOS!$K$5:$K$24,MATCH($B34,COMBOS!$B$5:$B$24,0)),0))</f>
        <v/>
      </c>
      <c r="E34" s="31" t="n"/>
      <c r="F34" s="33">
        <f>IF($B34="","",INICIO!$C$5)</f>
        <v/>
      </c>
      <c r="G34" s="17">
        <f>IFERROR(IF($B34="","",$E34/(1+$F34)),"")</f>
        <v/>
      </c>
      <c r="H34" s="30">
        <f>IFERROR(IF($B34="","",$G34-$D34),"")</f>
        <v/>
      </c>
      <c r="I34" s="34">
        <f>IFERROR(IF($B34="","",$H34/$G34),"")</f>
        <v/>
      </c>
      <c r="J34" s="33">
        <f>IF($B34="","",INICIO!$C$9)</f>
        <v/>
      </c>
      <c r="K34" s="17">
        <f>IFERROR(IF($B34="","",$D34/(1-$J34)*(1+$F34)),"")</f>
        <v/>
      </c>
      <c r="L34" s="24">
        <f>IF($B34="","",IF($I34&lt;0,"PIERDE PLATA",IF($I34&lt;0.5,"MARGEN BAJO",IF($I34&lt;0.65,"ACEPTABLE","EXCELENTE"))))</f>
        <v/>
      </c>
    </row>
    <row r="35">
      <c r="A35" s="29" t="n"/>
      <c r="B35" s="28" t="n"/>
      <c r="C35" s="28" t="n"/>
      <c r="D35" s="17">
        <f>IF($B35="","",SUMIFS(RECETAS!$G$5:$G$254,RECETAS!$B$5:$B$254,$B35)+IFERROR(INDEX(COMBOS!$K$5:$K$24,MATCH($B35,COMBOS!$B$5:$B$24,0)),0))</f>
        <v/>
      </c>
      <c r="E35" s="31" t="n"/>
      <c r="F35" s="33">
        <f>IF($B35="","",INICIO!$C$5)</f>
        <v/>
      </c>
      <c r="G35" s="17">
        <f>IFERROR(IF($B35="","",$E35/(1+$F35)),"")</f>
        <v/>
      </c>
      <c r="H35" s="30">
        <f>IFERROR(IF($B35="","",$G35-$D35),"")</f>
        <v/>
      </c>
      <c r="I35" s="34">
        <f>IFERROR(IF($B35="","",$H35/$G35),"")</f>
        <v/>
      </c>
      <c r="J35" s="33">
        <f>IF($B35="","",INICIO!$C$9)</f>
        <v/>
      </c>
      <c r="K35" s="17">
        <f>IFERROR(IF($B35="","",$D35/(1-$J35)*(1+$F35)),"")</f>
        <v/>
      </c>
      <c r="L35" s="24">
        <f>IF($B35="","",IF($I35&lt;0,"PIERDE PLATA",IF($I35&lt;0.5,"MARGEN BAJO",IF($I35&lt;0.65,"ACEPTABLE","EXCELENTE"))))</f>
        <v/>
      </c>
    </row>
    <row r="36">
      <c r="A36" s="29" t="n"/>
      <c r="B36" s="28" t="n"/>
      <c r="C36" s="28" t="n"/>
      <c r="D36" s="17">
        <f>IF($B36="","",SUMIFS(RECETAS!$G$5:$G$254,RECETAS!$B$5:$B$254,$B36)+IFERROR(INDEX(COMBOS!$K$5:$K$24,MATCH($B36,COMBOS!$B$5:$B$24,0)),0))</f>
        <v/>
      </c>
      <c r="E36" s="31" t="n"/>
      <c r="F36" s="33">
        <f>IF($B36="","",INICIO!$C$5)</f>
        <v/>
      </c>
      <c r="G36" s="17">
        <f>IFERROR(IF($B36="","",$E36/(1+$F36)),"")</f>
        <v/>
      </c>
      <c r="H36" s="30">
        <f>IFERROR(IF($B36="","",$G36-$D36),"")</f>
        <v/>
      </c>
      <c r="I36" s="34">
        <f>IFERROR(IF($B36="","",$H36/$G36),"")</f>
        <v/>
      </c>
      <c r="J36" s="33">
        <f>IF($B36="","",INICIO!$C$9)</f>
        <v/>
      </c>
      <c r="K36" s="17">
        <f>IFERROR(IF($B36="","",$D36/(1-$J36)*(1+$F36)),"")</f>
        <v/>
      </c>
      <c r="L36" s="24">
        <f>IF($B36="","",IF($I36&lt;0,"PIERDE PLATA",IF($I36&lt;0.5,"MARGEN BAJO",IF($I36&lt;0.65,"ACEPTABLE","EXCELENTE"))))</f>
        <v/>
      </c>
    </row>
    <row r="37">
      <c r="A37" s="29" t="n"/>
      <c r="B37" s="28" t="n"/>
      <c r="C37" s="28" t="n"/>
      <c r="D37" s="17">
        <f>IF($B37="","",SUMIFS(RECETAS!$G$5:$G$254,RECETAS!$B$5:$B$254,$B37)+IFERROR(INDEX(COMBOS!$K$5:$K$24,MATCH($B37,COMBOS!$B$5:$B$24,0)),0))</f>
        <v/>
      </c>
      <c r="E37" s="31" t="n"/>
      <c r="F37" s="33">
        <f>IF($B37="","",INICIO!$C$5)</f>
        <v/>
      </c>
      <c r="G37" s="17">
        <f>IFERROR(IF($B37="","",$E37/(1+$F37)),"")</f>
        <v/>
      </c>
      <c r="H37" s="30">
        <f>IFERROR(IF($B37="","",$G37-$D37),"")</f>
        <v/>
      </c>
      <c r="I37" s="34">
        <f>IFERROR(IF($B37="","",$H37/$G37),"")</f>
        <v/>
      </c>
      <c r="J37" s="33">
        <f>IF($B37="","",INICIO!$C$9)</f>
        <v/>
      </c>
      <c r="K37" s="17">
        <f>IFERROR(IF($B37="","",$D37/(1-$J37)*(1+$F37)),"")</f>
        <v/>
      </c>
      <c r="L37" s="24">
        <f>IF($B37="","",IF($I37&lt;0,"PIERDE PLATA",IF($I37&lt;0.5,"MARGEN BAJO",IF($I37&lt;0.65,"ACEPTABLE","EXCELENTE"))))</f>
        <v/>
      </c>
    </row>
    <row r="38">
      <c r="A38" s="29" t="n"/>
      <c r="B38" s="28" t="n"/>
      <c r="C38" s="28" t="n"/>
      <c r="D38" s="17">
        <f>IF($B38="","",SUMIFS(RECETAS!$G$5:$G$254,RECETAS!$B$5:$B$254,$B38)+IFERROR(INDEX(COMBOS!$K$5:$K$24,MATCH($B38,COMBOS!$B$5:$B$24,0)),0))</f>
        <v/>
      </c>
      <c r="E38" s="31" t="n"/>
      <c r="F38" s="33">
        <f>IF($B38="","",INICIO!$C$5)</f>
        <v/>
      </c>
      <c r="G38" s="17">
        <f>IFERROR(IF($B38="","",$E38/(1+$F38)),"")</f>
        <v/>
      </c>
      <c r="H38" s="30">
        <f>IFERROR(IF($B38="","",$G38-$D38),"")</f>
        <v/>
      </c>
      <c r="I38" s="34">
        <f>IFERROR(IF($B38="","",$H38/$G38),"")</f>
        <v/>
      </c>
      <c r="J38" s="33">
        <f>IF($B38="","",INICIO!$C$9)</f>
        <v/>
      </c>
      <c r="K38" s="17">
        <f>IFERROR(IF($B38="","",$D38/(1-$J38)*(1+$F38)),"")</f>
        <v/>
      </c>
      <c r="L38" s="24">
        <f>IF($B38="","",IF($I38&lt;0,"PIERDE PLATA",IF($I38&lt;0.5,"MARGEN BAJO",IF($I38&lt;0.65,"ACEPTABLE","EXCELENTE"))))</f>
        <v/>
      </c>
    </row>
    <row r="39">
      <c r="A39" s="29" t="n"/>
      <c r="B39" s="28" t="n"/>
      <c r="C39" s="28" t="n"/>
      <c r="D39" s="17">
        <f>IF($B39="","",SUMIFS(RECETAS!$G$5:$G$254,RECETAS!$B$5:$B$254,$B39)+IFERROR(INDEX(COMBOS!$K$5:$K$24,MATCH($B39,COMBOS!$B$5:$B$24,0)),0))</f>
        <v/>
      </c>
      <c r="E39" s="31" t="n"/>
      <c r="F39" s="33">
        <f>IF($B39="","",INICIO!$C$5)</f>
        <v/>
      </c>
      <c r="G39" s="17">
        <f>IFERROR(IF($B39="","",$E39/(1+$F39)),"")</f>
        <v/>
      </c>
      <c r="H39" s="30">
        <f>IFERROR(IF($B39="","",$G39-$D39),"")</f>
        <v/>
      </c>
      <c r="I39" s="34">
        <f>IFERROR(IF($B39="","",$H39/$G39),"")</f>
        <v/>
      </c>
      <c r="J39" s="33">
        <f>IF($B39="","",INICIO!$C$9)</f>
        <v/>
      </c>
      <c r="K39" s="17">
        <f>IFERROR(IF($B39="","",$D39/(1-$J39)*(1+$F39)),"")</f>
        <v/>
      </c>
      <c r="L39" s="24">
        <f>IF($B39="","",IF($I39&lt;0,"PIERDE PLATA",IF($I39&lt;0.5,"MARGEN BAJO",IF($I39&lt;0.65,"ACEPTABLE","EXCELENTE"))))</f>
        <v/>
      </c>
    </row>
    <row r="40">
      <c r="A40" s="29" t="n"/>
      <c r="B40" s="28" t="n"/>
      <c r="C40" s="28" t="n"/>
      <c r="D40" s="17">
        <f>IF($B40="","",SUMIFS(RECETAS!$G$5:$G$254,RECETAS!$B$5:$B$254,$B40)+IFERROR(INDEX(COMBOS!$K$5:$K$24,MATCH($B40,COMBOS!$B$5:$B$24,0)),0))</f>
        <v/>
      </c>
      <c r="E40" s="31" t="n"/>
      <c r="F40" s="33">
        <f>IF($B40="","",INICIO!$C$5)</f>
        <v/>
      </c>
      <c r="G40" s="17">
        <f>IFERROR(IF($B40="","",$E40/(1+$F40)),"")</f>
        <v/>
      </c>
      <c r="H40" s="30">
        <f>IFERROR(IF($B40="","",$G40-$D40),"")</f>
        <v/>
      </c>
      <c r="I40" s="34">
        <f>IFERROR(IF($B40="","",$H40/$G40),"")</f>
        <v/>
      </c>
      <c r="J40" s="33">
        <f>IF($B40="","",INICIO!$C$9)</f>
        <v/>
      </c>
      <c r="K40" s="17">
        <f>IFERROR(IF($B40="","",$D40/(1-$J40)*(1+$F40)),"")</f>
        <v/>
      </c>
      <c r="L40" s="24">
        <f>IF($B40="","",IF($I40&lt;0,"PIERDE PLATA",IF($I40&lt;0.5,"MARGEN BAJO",IF($I40&lt;0.65,"ACEPTABLE","EXCELENTE"))))</f>
        <v/>
      </c>
    </row>
    <row r="41">
      <c r="A41" s="29" t="n"/>
      <c r="B41" s="28" t="n"/>
      <c r="C41" s="28" t="n"/>
      <c r="D41" s="17">
        <f>IF($B41="","",SUMIFS(RECETAS!$G$5:$G$254,RECETAS!$B$5:$B$254,$B41)+IFERROR(INDEX(COMBOS!$K$5:$K$24,MATCH($B41,COMBOS!$B$5:$B$24,0)),0))</f>
        <v/>
      </c>
      <c r="E41" s="31" t="n"/>
      <c r="F41" s="33">
        <f>IF($B41="","",INICIO!$C$5)</f>
        <v/>
      </c>
      <c r="G41" s="17">
        <f>IFERROR(IF($B41="","",$E41/(1+$F41)),"")</f>
        <v/>
      </c>
      <c r="H41" s="30">
        <f>IFERROR(IF($B41="","",$G41-$D41),"")</f>
        <v/>
      </c>
      <c r="I41" s="34">
        <f>IFERROR(IF($B41="","",$H41/$G41),"")</f>
        <v/>
      </c>
      <c r="J41" s="33">
        <f>IF($B41="","",INICIO!$C$9)</f>
        <v/>
      </c>
      <c r="K41" s="17">
        <f>IFERROR(IF($B41="","",$D41/(1-$J41)*(1+$F41)),"")</f>
        <v/>
      </c>
      <c r="L41" s="24">
        <f>IF($B41="","",IF($I41&lt;0,"PIERDE PLATA",IF($I41&lt;0.5,"MARGEN BAJO",IF($I41&lt;0.65,"ACEPTABLE","EXCELENTE"))))</f>
        <v/>
      </c>
    </row>
    <row r="42">
      <c r="A42" s="29" t="n"/>
      <c r="B42" s="28" t="n"/>
      <c r="C42" s="28" t="n"/>
      <c r="D42" s="17">
        <f>IF($B42="","",SUMIFS(RECETAS!$G$5:$G$254,RECETAS!$B$5:$B$254,$B42)+IFERROR(INDEX(COMBOS!$K$5:$K$24,MATCH($B42,COMBOS!$B$5:$B$24,0)),0))</f>
        <v/>
      </c>
      <c r="E42" s="31" t="n"/>
      <c r="F42" s="33">
        <f>IF($B42="","",INICIO!$C$5)</f>
        <v/>
      </c>
      <c r="G42" s="17">
        <f>IFERROR(IF($B42="","",$E42/(1+$F42)),"")</f>
        <v/>
      </c>
      <c r="H42" s="30">
        <f>IFERROR(IF($B42="","",$G42-$D42),"")</f>
        <v/>
      </c>
      <c r="I42" s="34">
        <f>IFERROR(IF($B42="","",$H42/$G42),"")</f>
        <v/>
      </c>
      <c r="J42" s="33">
        <f>IF($B42="","",INICIO!$C$9)</f>
        <v/>
      </c>
      <c r="K42" s="17">
        <f>IFERROR(IF($B42="","",$D42/(1-$J42)*(1+$F42)),"")</f>
        <v/>
      </c>
      <c r="L42" s="24">
        <f>IF($B42="","",IF($I42&lt;0,"PIERDE PLATA",IF($I42&lt;0.5,"MARGEN BAJO",IF($I42&lt;0.65,"ACEPTABLE","EXCELENTE"))))</f>
        <v/>
      </c>
    </row>
    <row r="43">
      <c r="A43" s="29" t="n"/>
      <c r="B43" s="28" t="n"/>
      <c r="C43" s="28" t="n"/>
      <c r="D43" s="17">
        <f>IF($B43="","",SUMIFS(RECETAS!$G$5:$G$254,RECETAS!$B$5:$B$254,$B43)+IFERROR(INDEX(COMBOS!$K$5:$K$24,MATCH($B43,COMBOS!$B$5:$B$24,0)),0))</f>
        <v/>
      </c>
      <c r="E43" s="31" t="n"/>
      <c r="F43" s="33">
        <f>IF($B43="","",INICIO!$C$5)</f>
        <v/>
      </c>
      <c r="G43" s="17">
        <f>IFERROR(IF($B43="","",$E43/(1+$F43)),"")</f>
        <v/>
      </c>
      <c r="H43" s="30">
        <f>IFERROR(IF($B43="","",$G43-$D43),"")</f>
        <v/>
      </c>
      <c r="I43" s="34">
        <f>IFERROR(IF($B43="","",$H43/$G43),"")</f>
        <v/>
      </c>
      <c r="J43" s="33">
        <f>IF($B43="","",INICIO!$C$9)</f>
        <v/>
      </c>
      <c r="K43" s="17">
        <f>IFERROR(IF($B43="","",$D43/(1-$J43)*(1+$F43)),"")</f>
        <v/>
      </c>
      <c r="L43" s="24">
        <f>IF($B43="","",IF($I43&lt;0,"PIERDE PLATA",IF($I43&lt;0.5,"MARGEN BAJO",IF($I43&lt;0.65,"ACEPTABLE","EXCELENTE"))))</f>
        <v/>
      </c>
    </row>
    <row r="44">
      <c r="A44" s="29" t="n"/>
      <c r="B44" s="28" t="n"/>
      <c r="C44" s="28" t="n"/>
      <c r="D44" s="17">
        <f>IF($B44="","",SUMIFS(RECETAS!$G$5:$G$254,RECETAS!$B$5:$B$254,$B44)+IFERROR(INDEX(COMBOS!$K$5:$K$24,MATCH($B44,COMBOS!$B$5:$B$24,0)),0))</f>
        <v/>
      </c>
      <c r="E44" s="31" t="n"/>
      <c r="F44" s="33">
        <f>IF($B44="","",INICIO!$C$5)</f>
        <v/>
      </c>
      <c r="G44" s="17">
        <f>IFERROR(IF($B44="","",$E44/(1+$F44)),"")</f>
        <v/>
      </c>
      <c r="H44" s="30">
        <f>IFERROR(IF($B44="","",$G44-$D44),"")</f>
        <v/>
      </c>
      <c r="I44" s="34">
        <f>IFERROR(IF($B44="","",$H44/$G44),"")</f>
        <v/>
      </c>
      <c r="J44" s="33">
        <f>IF($B44="","",INICIO!$C$9)</f>
        <v/>
      </c>
      <c r="K44" s="17">
        <f>IFERROR(IF($B44="","",$D44/(1-$J44)*(1+$F44)),"")</f>
        <v/>
      </c>
      <c r="L44" s="24">
        <f>IF($B44="","",IF($I44&lt;0,"PIERDE PLATA",IF($I44&lt;0.5,"MARGEN BAJO",IF($I44&lt;0.65,"ACEPTABLE","EXCELENTE"))))</f>
        <v/>
      </c>
    </row>
    <row r="46">
      <c r="B46" s="2" t="inlineStr">
        <is>
          <t>OJO: con IVA 15%, un granizado de $1.50 te deja $1.30 de ingreso real. El PVP sugerido ya viene con IVA para que lo pongas tal cual en la carta.</t>
        </is>
      </c>
    </row>
  </sheetData>
  <conditionalFormatting sqref="L5:L44">
    <cfRule type="expression" priority="1" dxfId="0">
      <formula>EXACT($L5,"PIERDE PLATA")</formula>
    </cfRule>
    <cfRule type="expression" priority="2" dxfId="0">
      <formula>EXACT($L5,"MARGEN BAJO")</formula>
    </cfRule>
    <cfRule type="expression" priority="3" dxfId="2">
      <formula>EXACT($L5,"ACEPTABLE")</formula>
    </cfRule>
    <cfRule type="expression" priority="4" dxfId="1">
      <formula>EXACT($L5,"EXCELENTE")</formula>
    </cfRule>
  </conditionalFormatting>
  <dataValidations count="1">
    <dataValidation sqref="C5:C44" showDropDown="0" showInputMessage="0" showErrorMessage="0" allowBlank="1" type="list">
      <formula1>"Granizado maquina,Granizado especial,Comida,Combo,Bebida,Otro"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M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4" customWidth="1" min="3" max="3"/>
    <col width="8" customWidth="1" min="4" max="4"/>
    <col width="24" customWidth="1" min="5" max="5"/>
    <col width="8" customWidth="1" min="6" max="6"/>
    <col width="24" customWidth="1" min="7" max="7"/>
    <col width="8" customWidth="1" min="8" max="8"/>
    <col width="15" customWidth="1" min="9" max="9"/>
    <col width="15" customWidth="1" min="10" max="10"/>
    <col width="14" customWidth="1" min="11" max="11"/>
    <col width="14" customWidth="1" min="12" max="12"/>
    <col width="12" customWidth="1" min="13" max="13"/>
  </cols>
  <sheetData>
    <row r="1" ht="24" customHeight="1">
      <c r="A1" s="1" t="inlineStr">
        <is>
          <t>COMBOS</t>
        </is>
      </c>
    </row>
    <row r="2">
      <c r="A2" s="2" t="inlineStr">
        <is>
          <t>Arma el combo, mira cuanto margen sacrificas ANTES de lanzarlo. Los combos aparecen tambien en PRODUCTOS para poder venderlos.</t>
        </is>
      </c>
    </row>
    <row r="4" ht="30" customHeight="1">
      <c r="A4" s="25" t="inlineStr">
        <is>
          <t>ID</t>
        </is>
      </c>
      <c r="B4" s="25" t="inlineStr">
        <is>
          <t>Nombre del combo</t>
        </is>
      </c>
      <c r="C4" s="25" t="inlineStr">
        <is>
          <t>Item 1</t>
        </is>
      </c>
      <c r="D4" s="25" t="inlineStr">
        <is>
          <t>Cant 1</t>
        </is>
      </c>
      <c r="E4" s="25" t="inlineStr">
        <is>
          <t>Item 2</t>
        </is>
      </c>
      <c r="F4" s="25" t="inlineStr">
        <is>
          <t>Cant 2</t>
        </is>
      </c>
      <c r="G4" s="25" t="inlineStr">
        <is>
          <t>Item 3</t>
        </is>
      </c>
      <c r="H4" s="25" t="inlineStr">
        <is>
          <t>Cant 3</t>
        </is>
      </c>
      <c r="I4" s="25" t="inlineStr">
        <is>
          <t>Precio suelto (c/IVA)</t>
        </is>
      </c>
      <c r="J4" s="25" t="inlineStr">
        <is>
          <t>PVP combo (c/IVA)</t>
        </is>
      </c>
      <c r="K4" s="25" t="inlineStr">
        <is>
          <t>COSTO COMBO</t>
        </is>
      </c>
      <c r="L4" s="25" t="inlineStr">
        <is>
          <t>Descuento que das</t>
        </is>
      </c>
      <c r="M4" s="25" t="inlineStr">
        <is>
          <t>Margen combo</t>
        </is>
      </c>
    </row>
    <row r="5">
      <c r="A5" s="28" t="n">
        <v>1</v>
      </c>
      <c r="B5" s="28" t="inlineStr">
        <is>
          <t>Combo Pareja</t>
        </is>
      </c>
      <c r="C5" s="28" t="inlineStr">
        <is>
          <t>Coco c/alcohol</t>
        </is>
      </c>
      <c r="D5" s="29" t="n">
        <v>2</v>
      </c>
      <c r="E5" s="28" t="inlineStr">
        <is>
          <t>Papas en cono natural</t>
        </is>
      </c>
      <c r="F5" s="29" t="n">
        <v>1</v>
      </c>
      <c r="G5" s="28" t="n"/>
      <c r="H5" s="29" t="n"/>
      <c r="I5" s="32">
        <f>IF($B5="","",IFERROR(INDEX(PRODUCTOS!$E$5:$E$44,MATCH($C5,PRODUCTOS!$B$5:$B$44,0))*N($D5),0)+IFERROR(INDEX(PRODUCTOS!$E$5:$E$44,MATCH($E5,PRODUCTOS!$B$5:$B$44,0))*N($F5),0)+IFERROR(INDEX(PRODUCTOS!$E$5:$E$44,MATCH($G5,PRODUCTOS!$B$5:$B$44,0))*N($H5),0))</f>
        <v/>
      </c>
      <c r="J5" s="31" t="n">
        <v>5</v>
      </c>
      <c r="K5" s="17">
        <f>IF($B5="","",IFERROR(SUMIFS(RECETAS!$G$5:$G$254,RECETAS!$B$5:$B$254,$C5)*N($D5),0)+IFERROR(SUMIFS(RECETAS!$G$5:$G$254,RECETAS!$B$5:$B$254,$E5)*N($F5),0)+IFERROR(SUMIFS(RECETAS!$G$5:$G$254,RECETAS!$B$5:$B$254,$G5)*N($H5),0))</f>
        <v/>
      </c>
      <c r="L5" s="35">
        <f>IFERROR(IF($B5="","",($I5-$J5)/$I5),"")</f>
        <v/>
      </c>
      <c r="M5" s="35">
        <f>IFERROR(IF($B5="","",($J5/(1+INICIO!$C$5)-$K5)/($J5/(1+INICIO!$C$5))),"")</f>
        <v/>
      </c>
    </row>
    <row r="6">
      <c r="A6" s="28" t="n">
        <v>2</v>
      </c>
      <c r="B6" s="28" t="inlineStr">
        <is>
          <t>Combo Amigos (4 granizados)</t>
        </is>
      </c>
      <c r="C6" s="28" t="inlineStr">
        <is>
          <t>Coco s/alcohol</t>
        </is>
      </c>
      <c r="D6" s="29" t="n">
        <v>4</v>
      </c>
      <c r="E6" s="28" t="n"/>
      <c r="F6" s="29" t="n"/>
      <c r="G6" s="28" t="n"/>
      <c r="H6" s="29" t="n"/>
      <c r="I6" s="32">
        <f>IF($B6="","",IFERROR(INDEX(PRODUCTOS!$E$5:$E$44,MATCH($C6,PRODUCTOS!$B$5:$B$44,0))*N($D6),0)+IFERROR(INDEX(PRODUCTOS!$E$5:$E$44,MATCH($E6,PRODUCTOS!$B$5:$B$44,0))*N($F6),0)+IFERROR(INDEX(PRODUCTOS!$E$5:$E$44,MATCH($G6,PRODUCTOS!$B$5:$B$44,0))*N($H6),0))</f>
        <v/>
      </c>
      <c r="J6" s="31" t="n">
        <v>5</v>
      </c>
      <c r="K6" s="17">
        <f>IF($B6="","",IFERROR(SUMIFS(RECETAS!$G$5:$G$254,RECETAS!$B$5:$B$254,$C6)*N($D6),0)+IFERROR(SUMIFS(RECETAS!$G$5:$G$254,RECETAS!$B$5:$B$254,$E6)*N($F6),0)+IFERROR(SUMIFS(RECETAS!$G$5:$G$254,RECETAS!$B$5:$B$254,$G6)*N($H6),0))</f>
        <v/>
      </c>
      <c r="L6" s="35">
        <f>IFERROR(IF($B6="","",($I6-$J6)/$I6),"")</f>
        <v/>
      </c>
      <c r="M6" s="35">
        <f>IFERROR(IF($B6="","",($J6/(1+INICIO!$C$5)-$K6)/($J6/(1+INICIO!$C$5))),"")</f>
        <v/>
      </c>
    </row>
    <row r="7">
      <c r="A7" s="28" t="n">
        <v>3</v>
      </c>
      <c r="B7" s="28" t="inlineStr">
        <is>
          <t>Combo Premium</t>
        </is>
      </c>
      <c r="C7" s="28" t="inlineStr">
        <is>
          <t>Oreo s/alcohol</t>
        </is>
      </c>
      <c r="D7" s="29" t="n">
        <v>2</v>
      </c>
      <c r="E7" s="28" t="inlineStr">
        <is>
          <t>Papas en cono + salsa</t>
        </is>
      </c>
      <c r="F7" s="29" t="n">
        <v>1</v>
      </c>
      <c r="G7" s="28" t="n"/>
      <c r="H7" s="29" t="n"/>
      <c r="I7" s="32">
        <f>IF($B7="","",IFERROR(INDEX(PRODUCTOS!$E$5:$E$44,MATCH($C7,PRODUCTOS!$B$5:$B$44,0))*N($D7),0)+IFERROR(INDEX(PRODUCTOS!$E$5:$E$44,MATCH($E7,PRODUCTOS!$B$5:$B$44,0))*N($F7),0)+IFERROR(INDEX(PRODUCTOS!$E$5:$E$44,MATCH($G7,PRODUCTOS!$B$5:$B$44,0))*N($H7),0))</f>
        <v/>
      </c>
      <c r="J7" s="31" t="n">
        <v>7.5</v>
      </c>
      <c r="K7" s="17">
        <f>IF($B7="","",IFERROR(SUMIFS(RECETAS!$G$5:$G$254,RECETAS!$B$5:$B$254,$C7)*N($D7),0)+IFERROR(SUMIFS(RECETAS!$G$5:$G$254,RECETAS!$B$5:$B$254,$E7)*N($F7),0)+IFERROR(SUMIFS(RECETAS!$G$5:$G$254,RECETAS!$B$5:$B$254,$G7)*N($H7),0))</f>
        <v/>
      </c>
      <c r="L7" s="35">
        <f>IFERROR(IF($B7="","",($I7-$J7)/$I7),"")</f>
        <v/>
      </c>
      <c r="M7" s="35">
        <f>IFERROR(IF($B7="","",($J7/(1+INICIO!$C$5)-$K7)/($J7/(1+INICIO!$C$5))),"")</f>
        <v/>
      </c>
    </row>
    <row r="8">
      <c r="A8" s="28" t="n">
        <v>4</v>
      </c>
      <c r="B8" s="28" t="inlineStr">
        <is>
          <t>Combo Solo</t>
        </is>
      </c>
      <c r="C8" s="28" t="inlineStr">
        <is>
          <t>Maracuya s/alcohol</t>
        </is>
      </c>
      <c r="D8" s="29" t="n">
        <v>1</v>
      </c>
      <c r="E8" s="28" t="inlineStr">
        <is>
          <t>Papas en cono natural</t>
        </is>
      </c>
      <c r="F8" s="29" t="n">
        <v>1</v>
      </c>
      <c r="G8" s="28" t="n"/>
      <c r="H8" s="29" t="n"/>
      <c r="I8" s="32">
        <f>IF($B8="","",IFERROR(INDEX(PRODUCTOS!$E$5:$E$44,MATCH($C8,PRODUCTOS!$B$5:$B$44,0))*N($D8),0)+IFERROR(INDEX(PRODUCTOS!$E$5:$E$44,MATCH($E8,PRODUCTOS!$B$5:$B$44,0))*N($F8),0)+IFERROR(INDEX(PRODUCTOS!$E$5:$E$44,MATCH($G8,PRODUCTOS!$B$5:$B$44,0))*N($H8),0))</f>
        <v/>
      </c>
      <c r="J8" s="31" t="n">
        <v>2.5</v>
      </c>
      <c r="K8" s="17">
        <f>IF($B8="","",IFERROR(SUMIFS(RECETAS!$G$5:$G$254,RECETAS!$B$5:$B$254,$C8)*N($D8),0)+IFERROR(SUMIFS(RECETAS!$G$5:$G$254,RECETAS!$B$5:$B$254,$E8)*N($F8),0)+IFERROR(SUMIFS(RECETAS!$G$5:$G$254,RECETAS!$B$5:$B$254,$G8)*N($H8),0))</f>
        <v/>
      </c>
      <c r="L8" s="35">
        <f>IFERROR(IF($B8="","",($I8-$J8)/$I8),"")</f>
        <v/>
      </c>
      <c r="M8" s="35">
        <f>IFERROR(IF($B8="","",($J8/(1+INICIO!$C$5)-$K8)/($J8/(1+INICIO!$C$5))),"")</f>
        <v/>
      </c>
    </row>
    <row r="9">
      <c r="A9" s="28" t="n"/>
      <c r="B9" s="28" t="n"/>
      <c r="C9" s="28" t="n"/>
      <c r="D9" s="29" t="n"/>
      <c r="E9" s="28" t="n"/>
      <c r="F9" s="29" t="n"/>
      <c r="G9" s="28" t="n"/>
      <c r="H9" s="29" t="n"/>
      <c r="I9" s="32">
        <f>IF($B9="","",IFERROR(INDEX(PRODUCTOS!$E$5:$E$44,MATCH($C9,PRODUCTOS!$B$5:$B$44,0))*N($D9),0)+IFERROR(INDEX(PRODUCTOS!$E$5:$E$44,MATCH($E9,PRODUCTOS!$B$5:$B$44,0))*N($F9),0)+IFERROR(INDEX(PRODUCTOS!$E$5:$E$44,MATCH($G9,PRODUCTOS!$B$5:$B$44,0))*N($H9),0))</f>
        <v/>
      </c>
      <c r="J9" s="31" t="n"/>
      <c r="K9" s="17">
        <f>IF($B9="","",IFERROR(SUMIFS(RECETAS!$G$5:$G$254,RECETAS!$B$5:$B$254,$C9)*N($D9),0)+IFERROR(SUMIFS(RECETAS!$G$5:$G$254,RECETAS!$B$5:$B$254,$E9)*N($F9),0)+IFERROR(SUMIFS(RECETAS!$G$5:$G$254,RECETAS!$B$5:$B$254,$G9)*N($H9),0))</f>
        <v/>
      </c>
      <c r="L9" s="35">
        <f>IFERROR(IF($B9="","",($I9-$J9)/$I9),"")</f>
        <v/>
      </c>
      <c r="M9" s="35">
        <f>IFERROR(IF($B9="","",($J9/(1+INICIO!$C$5)-$K9)/($J9/(1+INICIO!$C$5))),"")</f>
        <v/>
      </c>
    </row>
    <row r="10">
      <c r="A10" s="28" t="n"/>
      <c r="B10" s="28" t="n"/>
      <c r="C10" s="28" t="n"/>
      <c r="D10" s="29" t="n"/>
      <c r="E10" s="28" t="n"/>
      <c r="F10" s="29" t="n"/>
      <c r="G10" s="28" t="n"/>
      <c r="H10" s="29" t="n"/>
      <c r="I10" s="32">
        <f>IF($B10="","",IFERROR(INDEX(PRODUCTOS!$E$5:$E$44,MATCH($C10,PRODUCTOS!$B$5:$B$44,0))*N($D10),0)+IFERROR(INDEX(PRODUCTOS!$E$5:$E$44,MATCH($E10,PRODUCTOS!$B$5:$B$44,0))*N($F10),0)+IFERROR(INDEX(PRODUCTOS!$E$5:$E$44,MATCH($G10,PRODUCTOS!$B$5:$B$44,0))*N($H10),0))</f>
        <v/>
      </c>
      <c r="J10" s="31" t="n"/>
      <c r="K10" s="17">
        <f>IF($B10="","",IFERROR(SUMIFS(RECETAS!$G$5:$G$254,RECETAS!$B$5:$B$254,$C10)*N($D10),0)+IFERROR(SUMIFS(RECETAS!$G$5:$G$254,RECETAS!$B$5:$B$254,$E10)*N($F10),0)+IFERROR(SUMIFS(RECETAS!$G$5:$G$254,RECETAS!$B$5:$B$254,$G10)*N($H10),0))</f>
        <v/>
      </c>
      <c r="L10" s="35">
        <f>IFERROR(IF($B10="","",($I10-$J10)/$I10),"")</f>
        <v/>
      </c>
      <c r="M10" s="35">
        <f>IFERROR(IF($B10="","",($J10/(1+INICIO!$C$5)-$K10)/($J10/(1+INICIO!$C$5))),"")</f>
        <v/>
      </c>
    </row>
    <row r="11">
      <c r="A11" s="28" t="n"/>
      <c r="B11" s="28" t="n"/>
      <c r="C11" s="28" t="n"/>
      <c r="D11" s="29" t="n"/>
      <c r="E11" s="28" t="n"/>
      <c r="F11" s="29" t="n"/>
      <c r="G11" s="28" t="n"/>
      <c r="H11" s="29" t="n"/>
      <c r="I11" s="32">
        <f>IF($B11="","",IFERROR(INDEX(PRODUCTOS!$E$5:$E$44,MATCH($C11,PRODUCTOS!$B$5:$B$44,0))*N($D11),0)+IFERROR(INDEX(PRODUCTOS!$E$5:$E$44,MATCH($E11,PRODUCTOS!$B$5:$B$44,0))*N($F11),0)+IFERROR(INDEX(PRODUCTOS!$E$5:$E$44,MATCH($G11,PRODUCTOS!$B$5:$B$44,0))*N($H11),0))</f>
        <v/>
      </c>
      <c r="J11" s="31" t="n"/>
      <c r="K11" s="17">
        <f>IF($B11="","",IFERROR(SUMIFS(RECETAS!$G$5:$G$254,RECETAS!$B$5:$B$254,$C11)*N($D11),0)+IFERROR(SUMIFS(RECETAS!$G$5:$G$254,RECETAS!$B$5:$B$254,$E11)*N($F11),0)+IFERROR(SUMIFS(RECETAS!$G$5:$G$254,RECETAS!$B$5:$B$254,$G11)*N($H11),0))</f>
        <v/>
      </c>
      <c r="L11" s="35">
        <f>IFERROR(IF($B11="","",($I11-$J11)/$I11),"")</f>
        <v/>
      </c>
      <c r="M11" s="35">
        <f>IFERROR(IF($B11="","",($J11/(1+INICIO!$C$5)-$K11)/($J11/(1+INICIO!$C$5))),"")</f>
        <v/>
      </c>
    </row>
    <row r="12">
      <c r="A12" s="28" t="n"/>
      <c r="B12" s="28" t="n"/>
      <c r="C12" s="28" t="n"/>
      <c r="D12" s="29" t="n"/>
      <c r="E12" s="28" t="n"/>
      <c r="F12" s="29" t="n"/>
      <c r="G12" s="28" t="n"/>
      <c r="H12" s="29" t="n"/>
      <c r="I12" s="32">
        <f>IF($B12="","",IFERROR(INDEX(PRODUCTOS!$E$5:$E$44,MATCH($C12,PRODUCTOS!$B$5:$B$44,0))*N($D12),0)+IFERROR(INDEX(PRODUCTOS!$E$5:$E$44,MATCH($E12,PRODUCTOS!$B$5:$B$44,0))*N($F12),0)+IFERROR(INDEX(PRODUCTOS!$E$5:$E$44,MATCH($G12,PRODUCTOS!$B$5:$B$44,0))*N($H12),0))</f>
        <v/>
      </c>
      <c r="J12" s="31" t="n"/>
      <c r="K12" s="17">
        <f>IF($B12="","",IFERROR(SUMIFS(RECETAS!$G$5:$G$254,RECETAS!$B$5:$B$254,$C12)*N($D12),0)+IFERROR(SUMIFS(RECETAS!$G$5:$G$254,RECETAS!$B$5:$B$254,$E12)*N($F12),0)+IFERROR(SUMIFS(RECETAS!$G$5:$G$254,RECETAS!$B$5:$B$254,$G12)*N($H12),0))</f>
        <v/>
      </c>
      <c r="L12" s="35">
        <f>IFERROR(IF($B12="","",($I12-$J12)/$I12),"")</f>
        <v/>
      </c>
      <c r="M12" s="35">
        <f>IFERROR(IF($B12="","",($J12/(1+INICIO!$C$5)-$K12)/($J12/(1+INICIO!$C$5))),"")</f>
        <v/>
      </c>
    </row>
    <row r="13">
      <c r="A13" s="28" t="n"/>
      <c r="B13" s="28" t="n"/>
      <c r="C13" s="28" t="n"/>
      <c r="D13" s="29" t="n"/>
      <c r="E13" s="28" t="n"/>
      <c r="F13" s="29" t="n"/>
      <c r="G13" s="28" t="n"/>
      <c r="H13" s="29" t="n"/>
      <c r="I13" s="32">
        <f>IF($B13="","",IFERROR(INDEX(PRODUCTOS!$E$5:$E$44,MATCH($C13,PRODUCTOS!$B$5:$B$44,0))*N($D13),0)+IFERROR(INDEX(PRODUCTOS!$E$5:$E$44,MATCH($E13,PRODUCTOS!$B$5:$B$44,0))*N($F13),0)+IFERROR(INDEX(PRODUCTOS!$E$5:$E$44,MATCH($G13,PRODUCTOS!$B$5:$B$44,0))*N($H13),0))</f>
        <v/>
      </c>
      <c r="J13" s="31" t="n"/>
      <c r="K13" s="17">
        <f>IF($B13="","",IFERROR(SUMIFS(RECETAS!$G$5:$G$254,RECETAS!$B$5:$B$254,$C13)*N($D13),0)+IFERROR(SUMIFS(RECETAS!$G$5:$G$254,RECETAS!$B$5:$B$254,$E13)*N($F13),0)+IFERROR(SUMIFS(RECETAS!$G$5:$G$254,RECETAS!$B$5:$B$254,$G13)*N($H13),0))</f>
        <v/>
      </c>
      <c r="L13" s="35">
        <f>IFERROR(IF($B13="","",($I13-$J13)/$I13),"")</f>
        <v/>
      </c>
      <c r="M13" s="35">
        <f>IFERROR(IF($B13="","",($J13/(1+INICIO!$C$5)-$K13)/($J13/(1+INICIO!$C$5))),"")</f>
        <v/>
      </c>
    </row>
    <row r="14">
      <c r="A14" s="28" t="n"/>
      <c r="B14" s="28" t="n"/>
      <c r="C14" s="28" t="n"/>
      <c r="D14" s="29" t="n"/>
      <c r="E14" s="28" t="n"/>
      <c r="F14" s="29" t="n"/>
      <c r="G14" s="28" t="n"/>
      <c r="H14" s="29" t="n"/>
      <c r="I14" s="32">
        <f>IF($B14="","",IFERROR(INDEX(PRODUCTOS!$E$5:$E$44,MATCH($C14,PRODUCTOS!$B$5:$B$44,0))*N($D14),0)+IFERROR(INDEX(PRODUCTOS!$E$5:$E$44,MATCH($E14,PRODUCTOS!$B$5:$B$44,0))*N($F14),0)+IFERROR(INDEX(PRODUCTOS!$E$5:$E$44,MATCH($G14,PRODUCTOS!$B$5:$B$44,0))*N($H14),0))</f>
        <v/>
      </c>
      <c r="J14" s="31" t="n"/>
      <c r="K14" s="17">
        <f>IF($B14="","",IFERROR(SUMIFS(RECETAS!$G$5:$G$254,RECETAS!$B$5:$B$254,$C14)*N($D14),0)+IFERROR(SUMIFS(RECETAS!$G$5:$G$254,RECETAS!$B$5:$B$254,$E14)*N($F14),0)+IFERROR(SUMIFS(RECETAS!$G$5:$G$254,RECETAS!$B$5:$B$254,$G14)*N($H14),0))</f>
        <v/>
      </c>
      <c r="L14" s="35">
        <f>IFERROR(IF($B14="","",($I14-$J14)/$I14),"")</f>
        <v/>
      </c>
      <c r="M14" s="35">
        <f>IFERROR(IF($B14="","",($J14/(1+INICIO!$C$5)-$K14)/($J14/(1+INICIO!$C$5))),"")</f>
        <v/>
      </c>
    </row>
    <row r="15">
      <c r="A15" s="28" t="n"/>
      <c r="B15" s="28" t="n"/>
      <c r="C15" s="28" t="n"/>
      <c r="D15" s="29" t="n"/>
      <c r="E15" s="28" t="n"/>
      <c r="F15" s="29" t="n"/>
      <c r="G15" s="28" t="n"/>
      <c r="H15" s="29" t="n"/>
      <c r="I15" s="32">
        <f>IF($B15="","",IFERROR(INDEX(PRODUCTOS!$E$5:$E$44,MATCH($C15,PRODUCTOS!$B$5:$B$44,0))*N($D15),0)+IFERROR(INDEX(PRODUCTOS!$E$5:$E$44,MATCH($E15,PRODUCTOS!$B$5:$B$44,0))*N($F15),0)+IFERROR(INDEX(PRODUCTOS!$E$5:$E$44,MATCH($G15,PRODUCTOS!$B$5:$B$44,0))*N($H15),0))</f>
        <v/>
      </c>
      <c r="J15" s="31" t="n"/>
      <c r="K15" s="17">
        <f>IF($B15="","",IFERROR(SUMIFS(RECETAS!$G$5:$G$254,RECETAS!$B$5:$B$254,$C15)*N($D15),0)+IFERROR(SUMIFS(RECETAS!$G$5:$G$254,RECETAS!$B$5:$B$254,$E15)*N($F15),0)+IFERROR(SUMIFS(RECETAS!$G$5:$G$254,RECETAS!$B$5:$B$254,$G15)*N($H15),0))</f>
        <v/>
      </c>
      <c r="L15" s="35">
        <f>IFERROR(IF($B15="","",($I15-$J15)/$I15),"")</f>
        <v/>
      </c>
      <c r="M15" s="35">
        <f>IFERROR(IF($B15="","",($J15/(1+INICIO!$C$5)-$K15)/($J15/(1+INICIO!$C$5))),"")</f>
        <v/>
      </c>
    </row>
    <row r="16">
      <c r="A16" s="28" t="n"/>
      <c r="B16" s="28" t="n"/>
      <c r="C16" s="28" t="n"/>
      <c r="D16" s="29" t="n"/>
      <c r="E16" s="28" t="n"/>
      <c r="F16" s="29" t="n"/>
      <c r="G16" s="28" t="n"/>
      <c r="H16" s="29" t="n"/>
      <c r="I16" s="32">
        <f>IF($B16="","",IFERROR(INDEX(PRODUCTOS!$E$5:$E$44,MATCH($C16,PRODUCTOS!$B$5:$B$44,0))*N($D16),0)+IFERROR(INDEX(PRODUCTOS!$E$5:$E$44,MATCH($E16,PRODUCTOS!$B$5:$B$44,0))*N($F16),0)+IFERROR(INDEX(PRODUCTOS!$E$5:$E$44,MATCH($G16,PRODUCTOS!$B$5:$B$44,0))*N($H16),0))</f>
        <v/>
      </c>
      <c r="J16" s="31" t="n"/>
      <c r="K16" s="17">
        <f>IF($B16="","",IFERROR(SUMIFS(RECETAS!$G$5:$G$254,RECETAS!$B$5:$B$254,$C16)*N($D16),0)+IFERROR(SUMIFS(RECETAS!$G$5:$G$254,RECETAS!$B$5:$B$254,$E16)*N($F16),0)+IFERROR(SUMIFS(RECETAS!$G$5:$G$254,RECETAS!$B$5:$B$254,$G16)*N($H16),0))</f>
        <v/>
      </c>
      <c r="L16" s="35">
        <f>IFERROR(IF($B16="","",($I16-$J16)/$I16),"")</f>
        <v/>
      </c>
      <c r="M16" s="35">
        <f>IFERROR(IF($B16="","",($J16/(1+INICIO!$C$5)-$K16)/($J16/(1+INICIO!$C$5))),"")</f>
        <v/>
      </c>
    </row>
    <row r="17">
      <c r="A17" s="28" t="n"/>
      <c r="B17" s="28" t="n"/>
      <c r="C17" s="28" t="n"/>
      <c r="D17" s="29" t="n"/>
      <c r="E17" s="28" t="n"/>
      <c r="F17" s="29" t="n"/>
      <c r="G17" s="28" t="n"/>
      <c r="H17" s="29" t="n"/>
      <c r="I17" s="32">
        <f>IF($B17="","",IFERROR(INDEX(PRODUCTOS!$E$5:$E$44,MATCH($C17,PRODUCTOS!$B$5:$B$44,0))*N($D17),0)+IFERROR(INDEX(PRODUCTOS!$E$5:$E$44,MATCH($E17,PRODUCTOS!$B$5:$B$44,0))*N($F17),0)+IFERROR(INDEX(PRODUCTOS!$E$5:$E$44,MATCH($G17,PRODUCTOS!$B$5:$B$44,0))*N($H17),0))</f>
        <v/>
      </c>
      <c r="J17" s="31" t="n"/>
      <c r="K17" s="17">
        <f>IF($B17="","",IFERROR(SUMIFS(RECETAS!$G$5:$G$254,RECETAS!$B$5:$B$254,$C17)*N($D17),0)+IFERROR(SUMIFS(RECETAS!$G$5:$G$254,RECETAS!$B$5:$B$254,$E17)*N($F17),0)+IFERROR(SUMIFS(RECETAS!$G$5:$G$254,RECETAS!$B$5:$B$254,$G17)*N($H17),0))</f>
        <v/>
      </c>
      <c r="L17" s="35">
        <f>IFERROR(IF($B17="","",($I17-$J17)/$I17),"")</f>
        <v/>
      </c>
      <c r="M17" s="35">
        <f>IFERROR(IF($B17="","",($J17/(1+INICIO!$C$5)-$K17)/($J17/(1+INICIO!$C$5))),"")</f>
        <v/>
      </c>
    </row>
    <row r="18">
      <c r="A18" s="28" t="n"/>
      <c r="B18" s="28" t="n"/>
      <c r="C18" s="28" t="n"/>
      <c r="D18" s="29" t="n"/>
      <c r="E18" s="28" t="n"/>
      <c r="F18" s="29" t="n"/>
      <c r="G18" s="28" t="n"/>
      <c r="H18" s="29" t="n"/>
      <c r="I18" s="32">
        <f>IF($B18="","",IFERROR(INDEX(PRODUCTOS!$E$5:$E$44,MATCH($C18,PRODUCTOS!$B$5:$B$44,0))*N($D18),0)+IFERROR(INDEX(PRODUCTOS!$E$5:$E$44,MATCH($E18,PRODUCTOS!$B$5:$B$44,0))*N($F18),0)+IFERROR(INDEX(PRODUCTOS!$E$5:$E$44,MATCH($G18,PRODUCTOS!$B$5:$B$44,0))*N($H18),0))</f>
        <v/>
      </c>
      <c r="J18" s="31" t="n"/>
      <c r="K18" s="17">
        <f>IF($B18="","",IFERROR(SUMIFS(RECETAS!$G$5:$G$254,RECETAS!$B$5:$B$254,$C18)*N($D18),0)+IFERROR(SUMIFS(RECETAS!$G$5:$G$254,RECETAS!$B$5:$B$254,$E18)*N($F18),0)+IFERROR(SUMIFS(RECETAS!$G$5:$G$254,RECETAS!$B$5:$B$254,$G18)*N($H18),0))</f>
        <v/>
      </c>
      <c r="L18" s="35">
        <f>IFERROR(IF($B18="","",($I18-$J18)/$I18),"")</f>
        <v/>
      </c>
      <c r="M18" s="35">
        <f>IFERROR(IF($B18="","",($J18/(1+INICIO!$C$5)-$K18)/($J18/(1+INICIO!$C$5))),"")</f>
        <v/>
      </c>
    </row>
    <row r="19">
      <c r="A19" s="28" t="n"/>
      <c r="B19" s="28" t="n"/>
      <c r="C19" s="28" t="n"/>
      <c r="D19" s="29" t="n"/>
      <c r="E19" s="28" t="n"/>
      <c r="F19" s="29" t="n"/>
      <c r="G19" s="28" t="n"/>
      <c r="H19" s="29" t="n"/>
      <c r="I19" s="32">
        <f>IF($B19="","",IFERROR(INDEX(PRODUCTOS!$E$5:$E$44,MATCH($C19,PRODUCTOS!$B$5:$B$44,0))*N($D19),0)+IFERROR(INDEX(PRODUCTOS!$E$5:$E$44,MATCH($E19,PRODUCTOS!$B$5:$B$44,0))*N($F19),0)+IFERROR(INDEX(PRODUCTOS!$E$5:$E$44,MATCH($G19,PRODUCTOS!$B$5:$B$44,0))*N($H19),0))</f>
        <v/>
      </c>
      <c r="J19" s="31" t="n"/>
      <c r="K19" s="17">
        <f>IF($B19="","",IFERROR(SUMIFS(RECETAS!$G$5:$G$254,RECETAS!$B$5:$B$254,$C19)*N($D19),0)+IFERROR(SUMIFS(RECETAS!$G$5:$G$254,RECETAS!$B$5:$B$254,$E19)*N($F19),0)+IFERROR(SUMIFS(RECETAS!$G$5:$G$254,RECETAS!$B$5:$B$254,$G19)*N($H19),0))</f>
        <v/>
      </c>
      <c r="L19" s="35">
        <f>IFERROR(IF($B19="","",($I19-$J19)/$I19),"")</f>
        <v/>
      </c>
      <c r="M19" s="35">
        <f>IFERROR(IF($B19="","",($J19/(1+INICIO!$C$5)-$K19)/($J19/(1+INICIO!$C$5))),"")</f>
        <v/>
      </c>
    </row>
    <row r="20">
      <c r="A20" s="28" t="n"/>
      <c r="B20" s="28" t="n"/>
      <c r="C20" s="28" t="n"/>
      <c r="D20" s="29" t="n"/>
      <c r="E20" s="28" t="n"/>
      <c r="F20" s="29" t="n"/>
      <c r="G20" s="28" t="n"/>
      <c r="H20" s="29" t="n"/>
      <c r="I20" s="32">
        <f>IF($B20="","",IFERROR(INDEX(PRODUCTOS!$E$5:$E$44,MATCH($C20,PRODUCTOS!$B$5:$B$44,0))*N($D20),0)+IFERROR(INDEX(PRODUCTOS!$E$5:$E$44,MATCH($E20,PRODUCTOS!$B$5:$B$44,0))*N($F20),0)+IFERROR(INDEX(PRODUCTOS!$E$5:$E$44,MATCH($G20,PRODUCTOS!$B$5:$B$44,0))*N($H20),0))</f>
        <v/>
      </c>
      <c r="J20" s="31" t="n"/>
      <c r="K20" s="17">
        <f>IF($B20="","",IFERROR(SUMIFS(RECETAS!$G$5:$G$254,RECETAS!$B$5:$B$254,$C20)*N($D20),0)+IFERROR(SUMIFS(RECETAS!$G$5:$G$254,RECETAS!$B$5:$B$254,$E20)*N($F20),0)+IFERROR(SUMIFS(RECETAS!$G$5:$G$254,RECETAS!$B$5:$B$254,$G20)*N($H20),0))</f>
        <v/>
      </c>
      <c r="L20" s="35">
        <f>IFERROR(IF($B20="","",($I20-$J20)/$I20),"")</f>
        <v/>
      </c>
      <c r="M20" s="35">
        <f>IFERROR(IF($B20="","",($J20/(1+INICIO!$C$5)-$K20)/($J20/(1+INICIO!$C$5))),"")</f>
        <v/>
      </c>
    </row>
    <row r="21">
      <c r="A21" s="28" t="n"/>
      <c r="B21" s="28" t="n"/>
      <c r="C21" s="28" t="n"/>
      <c r="D21" s="29" t="n"/>
      <c r="E21" s="28" t="n"/>
      <c r="F21" s="29" t="n"/>
      <c r="G21" s="28" t="n"/>
      <c r="H21" s="29" t="n"/>
      <c r="I21" s="32">
        <f>IF($B21="","",IFERROR(INDEX(PRODUCTOS!$E$5:$E$44,MATCH($C21,PRODUCTOS!$B$5:$B$44,0))*N($D21),0)+IFERROR(INDEX(PRODUCTOS!$E$5:$E$44,MATCH($E21,PRODUCTOS!$B$5:$B$44,0))*N($F21),0)+IFERROR(INDEX(PRODUCTOS!$E$5:$E$44,MATCH($G21,PRODUCTOS!$B$5:$B$44,0))*N($H21),0))</f>
        <v/>
      </c>
      <c r="J21" s="31" t="n"/>
      <c r="K21" s="17">
        <f>IF($B21="","",IFERROR(SUMIFS(RECETAS!$G$5:$G$254,RECETAS!$B$5:$B$254,$C21)*N($D21),0)+IFERROR(SUMIFS(RECETAS!$G$5:$G$254,RECETAS!$B$5:$B$254,$E21)*N($F21),0)+IFERROR(SUMIFS(RECETAS!$G$5:$G$254,RECETAS!$B$5:$B$254,$G21)*N($H21),0))</f>
        <v/>
      </c>
      <c r="L21" s="35">
        <f>IFERROR(IF($B21="","",($I21-$J21)/$I21),"")</f>
        <v/>
      </c>
      <c r="M21" s="35">
        <f>IFERROR(IF($B21="","",($J21/(1+INICIO!$C$5)-$K21)/($J21/(1+INICIO!$C$5))),"")</f>
        <v/>
      </c>
    </row>
    <row r="22">
      <c r="A22" s="28" t="n"/>
      <c r="B22" s="28" t="n"/>
      <c r="C22" s="28" t="n"/>
      <c r="D22" s="29" t="n"/>
      <c r="E22" s="28" t="n"/>
      <c r="F22" s="29" t="n"/>
      <c r="G22" s="28" t="n"/>
      <c r="H22" s="29" t="n"/>
      <c r="I22" s="32">
        <f>IF($B22="","",IFERROR(INDEX(PRODUCTOS!$E$5:$E$44,MATCH($C22,PRODUCTOS!$B$5:$B$44,0))*N($D22),0)+IFERROR(INDEX(PRODUCTOS!$E$5:$E$44,MATCH($E22,PRODUCTOS!$B$5:$B$44,0))*N($F22),0)+IFERROR(INDEX(PRODUCTOS!$E$5:$E$44,MATCH($G22,PRODUCTOS!$B$5:$B$44,0))*N($H22),0))</f>
        <v/>
      </c>
      <c r="J22" s="31" t="n"/>
      <c r="K22" s="17">
        <f>IF($B22="","",IFERROR(SUMIFS(RECETAS!$G$5:$G$254,RECETAS!$B$5:$B$254,$C22)*N($D22),0)+IFERROR(SUMIFS(RECETAS!$G$5:$G$254,RECETAS!$B$5:$B$254,$E22)*N($F22),0)+IFERROR(SUMIFS(RECETAS!$G$5:$G$254,RECETAS!$B$5:$B$254,$G22)*N($H22),0))</f>
        <v/>
      </c>
      <c r="L22" s="35">
        <f>IFERROR(IF($B22="","",($I22-$J22)/$I22),"")</f>
        <v/>
      </c>
      <c r="M22" s="35">
        <f>IFERROR(IF($B22="","",($J22/(1+INICIO!$C$5)-$K22)/($J22/(1+INICIO!$C$5))),"")</f>
        <v/>
      </c>
    </row>
    <row r="23">
      <c r="A23" s="28" t="n"/>
      <c r="B23" s="28" t="n"/>
      <c r="C23" s="28" t="n"/>
      <c r="D23" s="29" t="n"/>
      <c r="E23" s="28" t="n"/>
      <c r="F23" s="29" t="n"/>
      <c r="G23" s="28" t="n"/>
      <c r="H23" s="29" t="n"/>
      <c r="I23" s="32">
        <f>IF($B23="","",IFERROR(INDEX(PRODUCTOS!$E$5:$E$44,MATCH($C23,PRODUCTOS!$B$5:$B$44,0))*N($D23),0)+IFERROR(INDEX(PRODUCTOS!$E$5:$E$44,MATCH($E23,PRODUCTOS!$B$5:$B$44,0))*N($F23),0)+IFERROR(INDEX(PRODUCTOS!$E$5:$E$44,MATCH($G23,PRODUCTOS!$B$5:$B$44,0))*N($H23),0))</f>
        <v/>
      </c>
      <c r="J23" s="31" t="n"/>
      <c r="K23" s="17">
        <f>IF($B23="","",IFERROR(SUMIFS(RECETAS!$G$5:$G$254,RECETAS!$B$5:$B$254,$C23)*N($D23),0)+IFERROR(SUMIFS(RECETAS!$G$5:$G$254,RECETAS!$B$5:$B$254,$E23)*N($F23),0)+IFERROR(SUMIFS(RECETAS!$G$5:$G$254,RECETAS!$B$5:$B$254,$G23)*N($H23),0))</f>
        <v/>
      </c>
      <c r="L23" s="35">
        <f>IFERROR(IF($B23="","",($I23-$J23)/$I23),"")</f>
        <v/>
      </c>
      <c r="M23" s="35">
        <f>IFERROR(IF($B23="","",($J23/(1+INICIO!$C$5)-$K23)/($J23/(1+INICIO!$C$5))),"")</f>
        <v/>
      </c>
    </row>
    <row r="24">
      <c r="A24" s="28" t="n"/>
      <c r="B24" s="28" t="n"/>
      <c r="C24" s="28" t="n"/>
      <c r="D24" s="29" t="n"/>
      <c r="E24" s="28" t="n"/>
      <c r="F24" s="29" t="n"/>
      <c r="G24" s="28" t="n"/>
      <c r="H24" s="29" t="n"/>
      <c r="I24" s="32">
        <f>IF($B24="","",IFERROR(INDEX(PRODUCTOS!$E$5:$E$44,MATCH($C24,PRODUCTOS!$B$5:$B$44,0))*N($D24),0)+IFERROR(INDEX(PRODUCTOS!$E$5:$E$44,MATCH($E24,PRODUCTOS!$B$5:$B$44,0))*N($F24),0)+IFERROR(INDEX(PRODUCTOS!$E$5:$E$44,MATCH($G24,PRODUCTOS!$B$5:$B$44,0))*N($H24),0))</f>
        <v/>
      </c>
      <c r="J24" s="31" t="n"/>
      <c r="K24" s="17">
        <f>IF($B24="","",IFERROR(SUMIFS(RECETAS!$G$5:$G$254,RECETAS!$B$5:$B$254,$C24)*N($D24),0)+IFERROR(SUMIFS(RECETAS!$G$5:$G$254,RECETAS!$B$5:$B$254,$E24)*N($F24),0)+IFERROR(SUMIFS(RECETAS!$G$5:$G$254,RECETAS!$B$5:$B$254,$G24)*N($H24),0))</f>
        <v/>
      </c>
      <c r="L24" s="35">
        <f>IFERROR(IF($B24="","",($I24-$J24)/$I24),"")</f>
        <v/>
      </c>
      <c r="M24" s="35">
        <f>IFERROR(IF($B24="","",($J24/(1+INICIO!$C$5)-$K24)/($J24/(1+INICIO!$C$5))),"")</f>
        <v/>
      </c>
    </row>
    <row r="27">
      <c r="B27" s="2" t="inlineStr">
        <is>
          <t>Regla: si el margen del combo baja de 55%, no lo lances. Estas regalando plata para vender lo mismo.</t>
        </is>
      </c>
    </row>
  </sheetData>
  <conditionalFormatting sqref="M5:M24">
    <cfRule type="cellIs" priority="1" operator="lessThan" dxfId="3">
      <formula>0.55</formula>
    </cfRule>
    <cfRule type="cellIs" priority="2" operator="greaterThanOrEqual" dxfId="4">
      <formula>0.65</formula>
    </cfRule>
  </conditionalFormatting>
  <dataValidations count="3">
    <dataValidation sqref="C5:C24" showDropDown="0" showInputMessage="0" showErrorMessage="0" allowBlank="1" type="list">
      <formula1>=PRODUCTOS!$B$5:$B$44</formula1>
    </dataValidation>
    <dataValidation sqref="E5:E24" showDropDown="0" showInputMessage="0" showErrorMessage="0" allowBlank="1" type="list">
      <formula1>=PRODUCTOS!$B$5:$B$44</formula1>
    </dataValidation>
    <dataValidation sqref="G5:G24" showDropDown="0" showInputMessage="0" showErrorMessage="0" allowBlank="1" type="list">
      <formula1>=PRODUCTOS!$B$5:$B$44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J2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11" customWidth="1" min="4" max="4"/>
    <col width="10" customWidth="1" min="5" max="5"/>
    <col width="14" customWidth="1" min="6" max="6"/>
    <col width="14" customWidth="1" min="7" max="7"/>
    <col width="40" customWidth="1" min="8" max="8"/>
    <col width="16" customWidth="1" min="9" max="9"/>
    <col width="16" customWidth="1" min="10" max="10"/>
  </cols>
  <sheetData>
    <row r="1" ht="24" customHeight="1">
      <c r="A1" s="1" t="inlineStr">
        <is>
          <t>RECETAS</t>
        </is>
      </c>
    </row>
    <row r="2">
      <c r="A2" s="2" t="inlineStr">
        <is>
          <t>Una fila por cada ingrediente de cada producto. El costo se jala solo desde INSUMOS.</t>
        </is>
      </c>
    </row>
    <row r="4" ht="30" customHeight="1">
      <c r="A4" s="25" t="inlineStr">
        <is>
          <t>#</t>
        </is>
      </c>
      <c r="B4" s="25" t="inlineStr">
        <is>
          <t>Producto</t>
        </is>
      </c>
      <c r="C4" s="25" t="inlineStr">
        <is>
          <t>Insumo</t>
        </is>
      </c>
      <c r="D4" s="25" t="inlineStr">
        <is>
          <t>Cantidad</t>
        </is>
      </c>
      <c r="E4" s="25" t="inlineStr">
        <is>
          <t>Unidad</t>
        </is>
      </c>
      <c r="F4" s="25" t="inlineStr">
        <is>
          <t>Costo unitario</t>
        </is>
      </c>
      <c r="G4" s="25" t="inlineStr">
        <is>
          <t>COSTO LINEA</t>
        </is>
      </c>
      <c r="H4" s="25" t="inlineStr">
        <is>
          <t>Notas de preparacion</t>
        </is>
      </c>
      <c r="I4" s="25" t="inlineStr">
        <is>
          <t>Uds. vendidas del producto (mes DASHBOARD)</t>
        </is>
      </c>
      <c r="J4" s="25" t="inlineStr">
        <is>
          <t>Consumo del insumo en el mes</t>
        </is>
      </c>
    </row>
    <row r="5">
      <c r="A5" s="29" t="n">
        <v>1</v>
      </c>
      <c r="B5" s="28" t="inlineStr">
        <is>
          <t>Coco s/alcohol</t>
        </is>
      </c>
      <c r="C5" s="28" t="inlineStr">
        <is>
          <t>Jarabe Coco</t>
        </is>
      </c>
      <c r="D5" s="36" t="n">
        <v>63</v>
      </c>
      <c r="E5" s="15">
        <f>IFERROR(IF($C5="","",INDEX(INSUMOS!$G$5:$G$84,MATCH($C5,INSUMOS!$B$5:$B$84,0))),"")</f>
        <v/>
      </c>
      <c r="F5" s="37">
        <f>IFERROR(IF($C5="","",INDEX(INSUMOS!$I$5:$I$84,MATCH($C5,INSUMOS!$B$5:$B$84,0))),"")</f>
        <v/>
      </c>
      <c r="G5" s="30">
        <f>IFERROR(IF($C5="","",$D5*$F5),"")</f>
        <v/>
      </c>
      <c r="H5" s="28" t="inlineStr">
        <is>
          <t>63ml jarabe + 190ml agua</t>
        </is>
      </c>
      <c r="I5" s="38">
        <f>IF($B5="","",SUMIFS(VENTAS!$D$5:$D$504,VENTAS!$B$5:$B$504,INICIO!$C$8,VENTAS!$C$5:$C$504,$B5))</f>
        <v/>
      </c>
      <c r="J5" s="38">
        <f>IF($C5="","",$D5*$I5)</f>
        <v/>
      </c>
    </row>
    <row r="6">
      <c r="A6" s="29" t="n">
        <v>2</v>
      </c>
      <c r="B6" s="28" t="inlineStr">
        <is>
          <t>Coco s/alcohol</t>
        </is>
      </c>
      <c r="C6" s="28" t="inlineStr">
        <is>
          <t>Agua purificada</t>
        </is>
      </c>
      <c r="D6" s="36" t="n">
        <v>190</v>
      </c>
      <c r="E6" s="15">
        <f>IFERROR(IF($C6="","",INDEX(INSUMOS!$G$5:$G$84,MATCH($C6,INSUMOS!$B$5:$B$84,0))),"")</f>
        <v/>
      </c>
      <c r="F6" s="37">
        <f>IFERROR(IF($C6="","",INDEX(INSUMOS!$I$5:$I$84,MATCH($C6,INSUMOS!$B$5:$B$84,0))),"")</f>
        <v/>
      </c>
      <c r="G6" s="30">
        <f>IFERROR(IF($C6="","",$D6*$F6),"")</f>
        <v/>
      </c>
      <c r="H6" s="28" t="inlineStr"/>
      <c r="I6" s="38">
        <f>IF($B6="","",SUMIFS(VENTAS!$D$5:$D$504,VENTAS!$B$5:$B$504,INICIO!$C$8,VENTAS!$C$5:$C$504,$B6))</f>
        <v/>
      </c>
      <c r="J6" s="38">
        <f>IF($C6="","",$D6*$I6)</f>
        <v/>
      </c>
    </row>
    <row r="7">
      <c r="A7" s="29" t="n">
        <v>3</v>
      </c>
      <c r="B7" s="28" t="inlineStr">
        <is>
          <t>Coco s/alcohol</t>
        </is>
      </c>
      <c r="C7" s="28" t="inlineStr">
        <is>
          <t>Energia maquina granizadora</t>
        </is>
      </c>
      <c r="D7" s="36" t="n">
        <v>1</v>
      </c>
      <c r="E7" s="15">
        <f>IFERROR(IF($C7="","",INDEX(INSUMOS!$G$5:$G$84,MATCH($C7,INSUMOS!$B$5:$B$84,0))),"")</f>
        <v/>
      </c>
      <c r="F7" s="37">
        <f>IFERROR(IF($C7="","",INDEX(INSUMOS!$I$5:$I$84,MATCH($C7,INSUMOS!$B$5:$B$84,0))),"")</f>
        <v/>
      </c>
      <c r="G7" s="30">
        <f>IFERROR(IF($C7="","",$D7*$F7),"")</f>
        <v/>
      </c>
      <c r="H7" s="28" t="inlineStr"/>
      <c r="I7" s="38">
        <f>IF($B7="","",SUMIFS(VENTAS!$D$5:$D$504,VENTAS!$B$5:$B$504,INICIO!$C$8,VENTAS!$C$5:$C$504,$B7))</f>
        <v/>
      </c>
      <c r="J7" s="38">
        <f>IF($C7="","",$D7*$I7)</f>
        <v/>
      </c>
    </row>
    <row r="8">
      <c r="A8" s="29" t="n">
        <v>4</v>
      </c>
      <c r="B8" s="28" t="inlineStr">
        <is>
          <t>Coco s/alcohol</t>
        </is>
      </c>
      <c r="C8" s="28" t="inlineStr">
        <is>
          <t>Vaso 12 oz</t>
        </is>
      </c>
      <c r="D8" s="36" t="n">
        <v>1</v>
      </c>
      <c r="E8" s="15">
        <f>IFERROR(IF($C8="","",INDEX(INSUMOS!$G$5:$G$84,MATCH($C8,INSUMOS!$B$5:$B$84,0))),"")</f>
        <v/>
      </c>
      <c r="F8" s="37">
        <f>IFERROR(IF($C8="","",INDEX(INSUMOS!$I$5:$I$84,MATCH($C8,INSUMOS!$B$5:$B$84,0))),"")</f>
        <v/>
      </c>
      <c r="G8" s="30">
        <f>IFERROR(IF($C8="","",$D8*$F8),"")</f>
        <v/>
      </c>
      <c r="H8" s="28" t="inlineStr"/>
      <c r="I8" s="38">
        <f>IF($B8="","",SUMIFS(VENTAS!$D$5:$D$504,VENTAS!$B$5:$B$504,INICIO!$C$8,VENTAS!$C$5:$C$504,$B8))</f>
        <v/>
      </c>
      <c r="J8" s="38">
        <f>IF($C8="","",$D8*$I8)</f>
        <v/>
      </c>
    </row>
    <row r="9">
      <c r="A9" s="29" t="n">
        <v>5</v>
      </c>
      <c r="B9" s="28" t="inlineStr">
        <is>
          <t>Coco s/alcohol</t>
        </is>
      </c>
      <c r="C9" s="28" t="inlineStr">
        <is>
          <t>Tapa domo 12 oz</t>
        </is>
      </c>
      <c r="D9" s="36" t="n">
        <v>1</v>
      </c>
      <c r="E9" s="15">
        <f>IFERROR(IF($C9="","",INDEX(INSUMOS!$G$5:$G$84,MATCH($C9,INSUMOS!$B$5:$B$84,0))),"")</f>
        <v/>
      </c>
      <c r="F9" s="37">
        <f>IFERROR(IF($C9="","",INDEX(INSUMOS!$I$5:$I$84,MATCH($C9,INSUMOS!$B$5:$B$84,0))),"")</f>
        <v/>
      </c>
      <c r="G9" s="30">
        <f>IFERROR(IF($C9="","",$D9*$F9),"")</f>
        <v/>
      </c>
      <c r="H9" s="28" t="inlineStr"/>
      <c r="I9" s="38">
        <f>IF($B9="","",SUMIFS(VENTAS!$D$5:$D$504,VENTAS!$B$5:$B$504,INICIO!$C$8,VENTAS!$C$5:$C$504,$B9))</f>
        <v/>
      </c>
      <c r="J9" s="38">
        <f>IF($C9="","",$D9*$I9)</f>
        <v/>
      </c>
    </row>
    <row r="10">
      <c r="A10" s="29" t="n">
        <v>6</v>
      </c>
      <c r="B10" s="28" t="inlineStr">
        <is>
          <t>Coco s/alcohol</t>
        </is>
      </c>
      <c r="C10" s="28" t="inlineStr">
        <is>
          <t>Pitillo</t>
        </is>
      </c>
      <c r="D10" s="36" t="n">
        <v>1</v>
      </c>
      <c r="E10" s="15">
        <f>IFERROR(IF($C10="","",INDEX(INSUMOS!$G$5:$G$84,MATCH($C10,INSUMOS!$B$5:$B$84,0))),"")</f>
        <v/>
      </c>
      <c r="F10" s="37">
        <f>IFERROR(IF($C10="","",INDEX(INSUMOS!$I$5:$I$84,MATCH($C10,INSUMOS!$B$5:$B$84,0))),"")</f>
        <v/>
      </c>
      <c r="G10" s="30">
        <f>IFERROR(IF($C10="","",$D10*$F10),"")</f>
        <v/>
      </c>
      <c r="H10" s="28" t="inlineStr"/>
      <c r="I10" s="38">
        <f>IF($B10="","",SUMIFS(VENTAS!$D$5:$D$504,VENTAS!$B$5:$B$504,INICIO!$C$8,VENTAS!$C$5:$C$504,$B10))</f>
        <v/>
      </c>
      <c r="J10" s="38">
        <f>IF($C10="","",$D10*$I10)</f>
        <v/>
      </c>
    </row>
    <row r="11">
      <c r="A11" s="29" t="n">
        <v>7</v>
      </c>
      <c r="B11" s="28" t="inlineStr">
        <is>
          <t>Coco s/alcohol</t>
        </is>
      </c>
      <c r="C11" s="28" t="inlineStr">
        <is>
          <t>Servilleta</t>
        </is>
      </c>
      <c r="D11" s="36" t="n">
        <v>1</v>
      </c>
      <c r="E11" s="15">
        <f>IFERROR(IF($C11="","",INDEX(INSUMOS!$G$5:$G$84,MATCH($C11,INSUMOS!$B$5:$B$84,0))),"")</f>
        <v/>
      </c>
      <c r="F11" s="37">
        <f>IFERROR(IF($C11="","",INDEX(INSUMOS!$I$5:$I$84,MATCH($C11,INSUMOS!$B$5:$B$84,0))),"")</f>
        <v/>
      </c>
      <c r="G11" s="30">
        <f>IFERROR(IF($C11="","",$D11*$F11),"")</f>
        <v/>
      </c>
      <c r="H11" s="28" t="inlineStr"/>
      <c r="I11" s="38">
        <f>IF($B11="","",SUMIFS(VENTAS!$D$5:$D$504,VENTAS!$B$5:$B$504,INICIO!$C$8,VENTAS!$C$5:$C$504,$B11))</f>
        <v/>
      </c>
      <c r="J11" s="38">
        <f>IF($C11="","",$D11*$I11)</f>
        <v/>
      </c>
    </row>
    <row r="12">
      <c r="A12" s="29" t="n">
        <v>8</v>
      </c>
      <c r="B12" s="28" t="inlineStr">
        <is>
          <t>Frutos Rojos s/alcohol</t>
        </is>
      </c>
      <c r="C12" s="28" t="inlineStr">
        <is>
          <t>Jarabe Frutos Rojos</t>
        </is>
      </c>
      <c r="D12" s="36" t="n">
        <v>63</v>
      </c>
      <c r="E12" s="15">
        <f>IFERROR(IF($C12="","",INDEX(INSUMOS!$G$5:$G$84,MATCH($C12,INSUMOS!$B$5:$B$84,0))),"")</f>
        <v/>
      </c>
      <c r="F12" s="37">
        <f>IFERROR(IF($C12="","",INDEX(INSUMOS!$I$5:$I$84,MATCH($C12,INSUMOS!$B$5:$B$84,0))),"")</f>
        <v/>
      </c>
      <c r="G12" s="30">
        <f>IFERROR(IF($C12="","",$D12*$F12),"")</f>
        <v/>
      </c>
      <c r="H12" s="28" t="inlineStr"/>
      <c r="I12" s="38">
        <f>IF($B12="","",SUMIFS(VENTAS!$D$5:$D$504,VENTAS!$B$5:$B$504,INICIO!$C$8,VENTAS!$C$5:$C$504,$B12))</f>
        <v/>
      </c>
      <c r="J12" s="38">
        <f>IF($C12="","",$D12*$I12)</f>
        <v/>
      </c>
    </row>
    <row r="13">
      <c r="A13" s="29" t="n">
        <v>9</v>
      </c>
      <c r="B13" s="28" t="inlineStr">
        <is>
          <t>Frutos Rojos s/alcohol</t>
        </is>
      </c>
      <c r="C13" s="28" t="inlineStr">
        <is>
          <t>Agua purificada</t>
        </is>
      </c>
      <c r="D13" s="36" t="n">
        <v>190</v>
      </c>
      <c r="E13" s="15">
        <f>IFERROR(IF($C13="","",INDEX(INSUMOS!$G$5:$G$84,MATCH($C13,INSUMOS!$B$5:$B$84,0))),"")</f>
        <v/>
      </c>
      <c r="F13" s="37">
        <f>IFERROR(IF($C13="","",INDEX(INSUMOS!$I$5:$I$84,MATCH($C13,INSUMOS!$B$5:$B$84,0))),"")</f>
        <v/>
      </c>
      <c r="G13" s="30">
        <f>IFERROR(IF($C13="","",$D13*$F13),"")</f>
        <v/>
      </c>
      <c r="H13" s="28" t="inlineStr"/>
      <c r="I13" s="38">
        <f>IF($B13="","",SUMIFS(VENTAS!$D$5:$D$504,VENTAS!$B$5:$B$504,INICIO!$C$8,VENTAS!$C$5:$C$504,$B13))</f>
        <v/>
      </c>
      <c r="J13" s="38">
        <f>IF($C13="","",$D13*$I13)</f>
        <v/>
      </c>
    </row>
    <row r="14">
      <c r="A14" s="29" t="n">
        <v>10</v>
      </c>
      <c r="B14" s="28" t="inlineStr">
        <is>
          <t>Frutos Rojos s/alcohol</t>
        </is>
      </c>
      <c r="C14" s="28" t="inlineStr">
        <is>
          <t>Energia maquina granizadora</t>
        </is>
      </c>
      <c r="D14" s="36" t="n">
        <v>1</v>
      </c>
      <c r="E14" s="15">
        <f>IFERROR(IF($C14="","",INDEX(INSUMOS!$G$5:$G$84,MATCH($C14,INSUMOS!$B$5:$B$84,0))),"")</f>
        <v/>
      </c>
      <c r="F14" s="37">
        <f>IFERROR(IF($C14="","",INDEX(INSUMOS!$I$5:$I$84,MATCH($C14,INSUMOS!$B$5:$B$84,0))),"")</f>
        <v/>
      </c>
      <c r="G14" s="30">
        <f>IFERROR(IF($C14="","",$D14*$F14),"")</f>
        <v/>
      </c>
      <c r="H14" s="28" t="inlineStr"/>
      <c r="I14" s="38">
        <f>IF($B14="","",SUMIFS(VENTAS!$D$5:$D$504,VENTAS!$B$5:$B$504,INICIO!$C$8,VENTAS!$C$5:$C$504,$B14))</f>
        <v/>
      </c>
      <c r="J14" s="38">
        <f>IF($C14="","",$D14*$I14)</f>
        <v/>
      </c>
    </row>
    <row r="15">
      <c r="A15" s="29" t="n">
        <v>11</v>
      </c>
      <c r="B15" s="28" t="inlineStr">
        <is>
          <t>Frutos Rojos s/alcohol</t>
        </is>
      </c>
      <c r="C15" s="28" t="inlineStr">
        <is>
          <t>Vaso 12 oz</t>
        </is>
      </c>
      <c r="D15" s="36" t="n">
        <v>1</v>
      </c>
      <c r="E15" s="15">
        <f>IFERROR(IF($C15="","",INDEX(INSUMOS!$G$5:$G$84,MATCH($C15,INSUMOS!$B$5:$B$84,0))),"")</f>
        <v/>
      </c>
      <c r="F15" s="37">
        <f>IFERROR(IF($C15="","",INDEX(INSUMOS!$I$5:$I$84,MATCH($C15,INSUMOS!$B$5:$B$84,0))),"")</f>
        <v/>
      </c>
      <c r="G15" s="30">
        <f>IFERROR(IF($C15="","",$D15*$F15),"")</f>
        <v/>
      </c>
      <c r="H15" s="28" t="inlineStr"/>
      <c r="I15" s="38">
        <f>IF($B15="","",SUMIFS(VENTAS!$D$5:$D$504,VENTAS!$B$5:$B$504,INICIO!$C$8,VENTAS!$C$5:$C$504,$B15))</f>
        <v/>
      </c>
      <c r="J15" s="38">
        <f>IF($C15="","",$D15*$I15)</f>
        <v/>
      </c>
    </row>
    <row r="16">
      <c r="A16" s="29" t="n">
        <v>12</v>
      </c>
      <c r="B16" s="28" t="inlineStr">
        <is>
          <t>Frutos Rojos s/alcohol</t>
        </is>
      </c>
      <c r="C16" s="28" t="inlineStr">
        <is>
          <t>Tapa domo 12 oz</t>
        </is>
      </c>
      <c r="D16" s="36" t="n">
        <v>1</v>
      </c>
      <c r="E16" s="15">
        <f>IFERROR(IF($C16="","",INDEX(INSUMOS!$G$5:$G$84,MATCH($C16,INSUMOS!$B$5:$B$84,0))),"")</f>
        <v/>
      </c>
      <c r="F16" s="37">
        <f>IFERROR(IF($C16="","",INDEX(INSUMOS!$I$5:$I$84,MATCH($C16,INSUMOS!$B$5:$B$84,0))),"")</f>
        <v/>
      </c>
      <c r="G16" s="30">
        <f>IFERROR(IF($C16="","",$D16*$F16),"")</f>
        <v/>
      </c>
      <c r="H16" s="28" t="inlineStr"/>
      <c r="I16" s="38">
        <f>IF($B16="","",SUMIFS(VENTAS!$D$5:$D$504,VENTAS!$B$5:$B$504,INICIO!$C$8,VENTAS!$C$5:$C$504,$B16))</f>
        <v/>
      </c>
      <c r="J16" s="38">
        <f>IF($C16="","",$D16*$I16)</f>
        <v/>
      </c>
    </row>
    <row r="17">
      <c r="A17" s="29" t="n">
        <v>13</v>
      </c>
      <c r="B17" s="28" t="inlineStr">
        <is>
          <t>Frutos Rojos s/alcohol</t>
        </is>
      </c>
      <c r="C17" s="28" t="inlineStr">
        <is>
          <t>Pitillo</t>
        </is>
      </c>
      <c r="D17" s="36" t="n">
        <v>1</v>
      </c>
      <c r="E17" s="15">
        <f>IFERROR(IF($C17="","",INDEX(INSUMOS!$G$5:$G$84,MATCH($C17,INSUMOS!$B$5:$B$84,0))),"")</f>
        <v/>
      </c>
      <c r="F17" s="37">
        <f>IFERROR(IF($C17="","",INDEX(INSUMOS!$I$5:$I$84,MATCH($C17,INSUMOS!$B$5:$B$84,0))),"")</f>
        <v/>
      </c>
      <c r="G17" s="30">
        <f>IFERROR(IF($C17="","",$D17*$F17),"")</f>
        <v/>
      </c>
      <c r="H17" s="28" t="inlineStr"/>
      <c r="I17" s="38">
        <f>IF($B17="","",SUMIFS(VENTAS!$D$5:$D$504,VENTAS!$B$5:$B$504,INICIO!$C$8,VENTAS!$C$5:$C$504,$B17))</f>
        <v/>
      </c>
      <c r="J17" s="38">
        <f>IF($C17="","",$D17*$I17)</f>
        <v/>
      </c>
    </row>
    <row r="18">
      <c r="A18" s="29" t="n">
        <v>14</v>
      </c>
      <c r="B18" s="28" t="inlineStr">
        <is>
          <t>Frutos Rojos s/alcohol</t>
        </is>
      </c>
      <c r="C18" s="28" t="inlineStr">
        <is>
          <t>Servilleta</t>
        </is>
      </c>
      <c r="D18" s="36" t="n">
        <v>1</v>
      </c>
      <c r="E18" s="15">
        <f>IFERROR(IF($C18="","",INDEX(INSUMOS!$G$5:$G$84,MATCH($C18,INSUMOS!$B$5:$B$84,0))),"")</f>
        <v/>
      </c>
      <c r="F18" s="37">
        <f>IFERROR(IF($C18="","",INDEX(INSUMOS!$I$5:$I$84,MATCH($C18,INSUMOS!$B$5:$B$84,0))),"")</f>
        <v/>
      </c>
      <c r="G18" s="30">
        <f>IFERROR(IF($C18="","",$D18*$F18),"")</f>
        <v/>
      </c>
      <c r="H18" s="28" t="inlineStr"/>
      <c r="I18" s="38">
        <f>IF($B18="","",SUMIFS(VENTAS!$D$5:$D$504,VENTAS!$B$5:$B$504,INICIO!$C$8,VENTAS!$C$5:$C$504,$B18))</f>
        <v/>
      </c>
      <c r="J18" s="38">
        <f>IF($C18="","",$D18*$I18)</f>
        <v/>
      </c>
    </row>
    <row r="19">
      <c r="A19" s="29" t="n">
        <v>15</v>
      </c>
      <c r="B19" s="28" t="inlineStr">
        <is>
          <t>Maracuya s/alcohol</t>
        </is>
      </c>
      <c r="C19" s="28" t="inlineStr">
        <is>
          <t>Jarabe Maracuya</t>
        </is>
      </c>
      <c r="D19" s="36" t="n">
        <v>63</v>
      </c>
      <c r="E19" s="15">
        <f>IFERROR(IF($C19="","",INDEX(INSUMOS!$G$5:$G$84,MATCH($C19,INSUMOS!$B$5:$B$84,0))),"")</f>
        <v/>
      </c>
      <c r="F19" s="37">
        <f>IFERROR(IF($C19="","",INDEX(INSUMOS!$I$5:$I$84,MATCH($C19,INSUMOS!$B$5:$B$84,0))),"")</f>
        <v/>
      </c>
      <c r="G19" s="30">
        <f>IFERROR(IF($C19="","",$D19*$F19),"")</f>
        <v/>
      </c>
      <c r="H19" s="28" t="inlineStr"/>
      <c r="I19" s="38">
        <f>IF($B19="","",SUMIFS(VENTAS!$D$5:$D$504,VENTAS!$B$5:$B$504,INICIO!$C$8,VENTAS!$C$5:$C$504,$B19))</f>
        <v/>
      </c>
      <c r="J19" s="38">
        <f>IF($C19="","",$D19*$I19)</f>
        <v/>
      </c>
    </row>
    <row r="20">
      <c r="A20" s="29" t="n">
        <v>16</v>
      </c>
      <c r="B20" s="28" t="inlineStr">
        <is>
          <t>Maracuya s/alcohol</t>
        </is>
      </c>
      <c r="C20" s="28" t="inlineStr">
        <is>
          <t>Agua purificada</t>
        </is>
      </c>
      <c r="D20" s="36" t="n">
        <v>190</v>
      </c>
      <c r="E20" s="15">
        <f>IFERROR(IF($C20="","",INDEX(INSUMOS!$G$5:$G$84,MATCH($C20,INSUMOS!$B$5:$B$84,0))),"")</f>
        <v/>
      </c>
      <c r="F20" s="37">
        <f>IFERROR(IF($C20="","",INDEX(INSUMOS!$I$5:$I$84,MATCH($C20,INSUMOS!$B$5:$B$84,0))),"")</f>
        <v/>
      </c>
      <c r="G20" s="30">
        <f>IFERROR(IF($C20="","",$D20*$F20),"")</f>
        <v/>
      </c>
      <c r="H20" s="28" t="inlineStr"/>
      <c r="I20" s="38">
        <f>IF($B20="","",SUMIFS(VENTAS!$D$5:$D$504,VENTAS!$B$5:$B$504,INICIO!$C$8,VENTAS!$C$5:$C$504,$B20))</f>
        <v/>
      </c>
      <c r="J20" s="38">
        <f>IF($C20="","",$D20*$I20)</f>
        <v/>
      </c>
    </row>
    <row r="21">
      <c r="A21" s="29" t="n">
        <v>17</v>
      </c>
      <c r="B21" s="28" t="inlineStr">
        <is>
          <t>Maracuya s/alcohol</t>
        </is>
      </c>
      <c r="C21" s="28" t="inlineStr">
        <is>
          <t>Energia maquina granizadora</t>
        </is>
      </c>
      <c r="D21" s="36" t="n">
        <v>1</v>
      </c>
      <c r="E21" s="15">
        <f>IFERROR(IF($C21="","",INDEX(INSUMOS!$G$5:$G$84,MATCH($C21,INSUMOS!$B$5:$B$84,0))),"")</f>
        <v/>
      </c>
      <c r="F21" s="37">
        <f>IFERROR(IF($C21="","",INDEX(INSUMOS!$I$5:$I$84,MATCH($C21,INSUMOS!$B$5:$B$84,0))),"")</f>
        <v/>
      </c>
      <c r="G21" s="30">
        <f>IFERROR(IF($C21="","",$D21*$F21),"")</f>
        <v/>
      </c>
      <c r="H21" s="28" t="inlineStr"/>
      <c r="I21" s="38">
        <f>IF($B21="","",SUMIFS(VENTAS!$D$5:$D$504,VENTAS!$B$5:$B$504,INICIO!$C$8,VENTAS!$C$5:$C$504,$B21))</f>
        <v/>
      </c>
      <c r="J21" s="38">
        <f>IF($C21="","",$D21*$I21)</f>
        <v/>
      </c>
    </row>
    <row r="22">
      <c r="A22" s="29" t="n">
        <v>18</v>
      </c>
      <c r="B22" s="28" t="inlineStr">
        <is>
          <t>Maracuya s/alcohol</t>
        </is>
      </c>
      <c r="C22" s="28" t="inlineStr">
        <is>
          <t>Vaso 12 oz</t>
        </is>
      </c>
      <c r="D22" s="36" t="n">
        <v>1</v>
      </c>
      <c r="E22" s="15">
        <f>IFERROR(IF($C22="","",INDEX(INSUMOS!$G$5:$G$84,MATCH($C22,INSUMOS!$B$5:$B$84,0))),"")</f>
        <v/>
      </c>
      <c r="F22" s="37">
        <f>IFERROR(IF($C22="","",INDEX(INSUMOS!$I$5:$I$84,MATCH($C22,INSUMOS!$B$5:$B$84,0))),"")</f>
        <v/>
      </c>
      <c r="G22" s="30">
        <f>IFERROR(IF($C22="","",$D22*$F22),"")</f>
        <v/>
      </c>
      <c r="H22" s="28" t="inlineStr"/>
      <c r="I22" s="38">
        <f>IF($B22="","",SUMIFS(VENTAS!$D$5:$D$504,VENTAS!$B$5:$B$504,INICIO!$C$8,VENTAS!$C$5:$C$504,$B22))</f>
        <v/>
      </c>
      <c r="J22" s="38">
        <f>IF($C22="","",$D22*$I22)</f>
        <v/>
      </c>
    </row>
    <row r="23">
      <c r="A23" s="29" t="n">
        <v>19</v>
      </c>
      <c r="B23" s="28" t="inlineStr">
        <is>
          <t>Maracuya s/alcohol</t>
        </is>
      </c>
      <c r="C23" s="28" t="inlineStr">
        <is>
          <t>Tapa domo 12 oz</t>
        </is>
      </c>
      <c r="D23" s="36" t="n">
        <v>1</v>
      </c>
      <c r="E23" s="15">
        <f>IFERROR(IF($C23="","",INDEX(INSUMOS!$G$5:$G$84,MATCH($C23,INSUMOS!$B$5:$B$84,0))),"")</f>
        <v/>
      </c>
      <c r="F23" s="37">
        <f>IFERROR(IF($C23="","",INDEX(INSUMOS!$I$5:$I$84,MATCH($C23,INSUMOS!$B$5:$B$84,0))),"")</f>
        <v/>
      </c>
      <c r="G23" s="30">
        <f>IFERROR(IF($C23="","",$D23*$F23),"")</f>
        <v/>
      </c>
      <c r="H23" s="28" t="inlineStr"/>
      <c r="I23" s="38">
        <f>IF($B23="","",SUMIFS(VENTAS!$D$5:$D$504,VENTAS!$B$5:$B$504,INICIO!$C$8,VENTAS!$C$5:$C$504,$B23))</f>
        <v/>
      </c>
      <c r="J23" s="38">
        <f>IF($C23="","",$D23*$I23)</f>
        <v/>
      </c>
    </row>
    <row r="24">
      <c r="A24" s="29" t="n">
        <v>20</v>
      </c>
      <c r="B24" s="28" t="inlineStr">
        <is>
          <t>Maracuya s/alcohol</t>
        </is>
      </c>
      <c r="C24" s="28" t="inlineStr">
        <is>
          <t>Pitillo</t>
        </is>
      </c>
      <c r="D24" s="36" t="n">
        <v>1</v>
      </c>
      <c r="E24" s="15">
        <f>IFERROR(IF($C24="","",INDEX(INSUMOS!$G$5:$G$84,MATCH($C24,INSUMOS!$B$5:$B$84,0))),"")</f>
        <v/>
      </c>
      <c r="F24" s="37">
        <f>IFERROR(IF($C24="","",INDEX(INSUMOS!$I$5:$I$84,MATCH($C24,INSUMOS!$B$5:$B$84,0))),"")</f>
        <v/>
      </c>
      <c r="G24" s="30">
        <f>IFERROR(IF($C24="","",$D24*$F24),"")</f>
        <v/>
      </c>
      <c r="H24" s="28" t="inlineStr"/>
      <c r="I24" s="38">
        <f>IF($B24="","",SUMIFS(VENTAS!$D$5:$D$504,VENTAS!$B$5:$B$504,INICIO!$C$8,VENTAS!$C$5:$C$504,$B24))</f>
        <v/>
      </c>
      <c r="J24" s="38">
        <f>IF($C24="","",$D24*$I24)</f>
        <v/>
      </c>
    </row>
    <row r="25">
      <c r="A25" s="29" t="n">
        <v>21</v>
      </c>
      <c r="B25" s="28" t="inlineStr">
        <is>
          <t>Maracuya s/alcohol</t>
        </is>
      </c>
      <c r="C25" s="28" t="inlineStr">
        <is>
          <t>Servilleta</t>
        </is>
      </c>
      <c r="D25" s="36" t="n">
        <v>1</v>
      </c>
      <c r="E25" s="15">
        <f>IFERROR(IF($C25="","",INDEX(INSUMOS!$G$5:$G$84,MATCH($C25,INSUMOS!$B$5:$B$84,0))),"")</f>
        <v/>
      </c>
      <c r="F25" s="37">
        <f>IFERROR(IF($C25="","",INDEX(INSUMOS!$I$5:$I$84,MATCH($C25,INSUMOS!$B$5:$B$84,0))),"")</f>
        <v/>
      </c>
      <c r="G25" s="30">
        <f>IFERROR(IF($C25="","",$D25*$F25),"")</f>
        <v/>
      </c>
      <c r="H25" s="28" t="inlineStr"/>
      <c r="I25" s="38">
        <f>IF($B25="","",SUMIFS(VENTAS!$D$5:$D$504,VENTAS!$B$5:$B$504,INICIO!$C$8,VENTAS!$C$5:$C$504,$B25))</f>
        <v/>
      </c>
      <c r="J25" s="38">
        <f>IF($C25="","",$D25*$I25)</f>
        <v/>
      </c>
    </row>
    <row r="26">
      <c r="A26" s="29" t="n">
        <v>22</v>
      </c>
      <c r="B26" s="28" t="inlineStr">
        <is>
          <t>Naranja s/alcohol</t>
        </is>
      </c>
      <c r="C26" s="28" t="inlineStr">
        <is>
          <t>Jarabe Naranja</t>
        </is>
      </c>
      <c r="D26" s="36" t="n">
        <v>63</v>
      </c>
      <c r="E26" s="15">
        <f>IFERROR(IF($C26="","",INDEX(INSUMOS!$G$5:$G$84,MATCH($C26,INSUMOS!$B$5:$B$84,0))),"")</f>
        <v/>
      </c>
      <c r="F26" s="37">
        <f>IFERROR(IF($C26="","",INDEX(INSUMOS!$I$5:$I$84,MATCH($C26,INSUMOS!$B$5:$B$84,0))),"")</f>
        <v/>
      </c>
      <c r="G26" s="30">
        <f>IFERROR(IF($C26="","",$D26*$F26),"")</f>
        <v/>
      </c>
      <c r="H26" s="28" t="inlineStr"/>
      <c r="I26" s="38">
        <f>IF($B26="","",SUMIFS(VENTAS!$D$5:$D$504,VENTAS!$B$5:$B$504,INICIO!$C$8,VENTAS!$C$5:$C$504,$B26))</f>
        <v/>
      </c>
      <c r="J26" s="38">
        <f>IF($C26="","",$D26*$I26)</f>
        <v/>
      </c>
    </row>
    <row r="27">
      <c r="A27" s="29" t="n">
        <v>23</v>
      </c>
      <c r="B27" s="28" t="inlineStr">
        <is>
          <t>Naranja s/alcohol</t>
        </is>
      </c>
      <c r="C27" s="28" t="inlineStr">
        <is>
          <t>Agua purificada</t>
        </is>
      </c>
      <c r="D27" s="36" t="n">
        <v>190</v>
      </c>
      <c r="E27" s="15">
        <f>IFERROR(IF($C27="","",INDEX(INSUMOS!$G$5:$G$84,MATCH($C27,INSUMOS!$B$5:$B$84,0))),"")</f>
        <v/>
      </c>
      <c r="F27" s="37">
        <f>IFERROR(IF($C27="","",INDEX(INSUMOS!$I$5:$I$84,MATCH($C27,INSUMOS!$B$5:$B$84,0))),"")</f>
        <v/>
      </c>
      <c r="G27" s="30">
        <f>IFERROR(IF($C27="","",$D27*$F27),"")</f>
        <v/>
      </c>
      <c r="H27" s="28" t="inlineStr"/>
      <c r="I27" s="38">
        <f>IF($B27="","",SUMIFS(VENTAS!$D$5:$D$504,VENTAS!$B$5:$B$504,INICIO!$C$8,VENTAS!$C$5:$C$504,$B27))</f>
        <v/>
      </c>
      <c r="J27" s="38">
        <f>IF($C27="","",$D27*$I27)</f>
        <v/>
      </c>
    </row>
    <row r="28">
      <c r="A28" s="29" t="n">
        <v>24</v>
      </c>
      <c r="B28" s="28" t="inlineStr">
        <is>
          <t>Naranja s/alcohol</t>
        </is>
      </c>
      <c r="C28" s="28" t="inlineStr">
        <is>
          <t>Energia maquina granizadora</t>
        </is>
      </c>
      <c r="D28" s="36" t="n">
        <v>1</v>
      </c>
      <c r="E28" s="15">
        <f>IFERROR(IF($C28="","",INDEX(INSUMOS!$G$5:$G$84,MATCH($C28,INSUMOS!$B$5:$B$84,0))),"")</f>
        <v/>
      </c>
      <c r="F28" s="37">
        <f>IFERROR(IF($C28="","",INDEX(INSUMOS!$I$5:$I$84,MATCH($C28,INSUMOS!$B$5:$B$84,0))),"")</f>
        <v/>
      </c>
      <c r="G28" s="30">
        <f>IFERROR(IF($C28="","",$D28*$F28),"")</f>
        <v/>
      </c>
      <c r="H28" s="28" t="inlineStr"/>
      <c r="I28" s="38">
        <f>IF($B28="","",SUMIFS(VENTAS!$D$5:$D$504,VENTAS!$B$5:$B$504,INICIO!$C$8,VENTAS!$C$5:$C$504,$B28))</f>
        <v/>
      </c>
      <c r="J28" s="38">
        <f>IF($C28="","",$D28*$I28)</f>
        <v/>
      </c>
    </row>
    <row r="29">
      <c r="A29" s="29" t="n">
        <v>25</v>
      </c>
      <c r="B29" s="28" t="inlineStr">
        <is>
          <t>Naranja s/alcohol</t>
        </is>
      </c>
      <c r="C29" s="28" t="inlineStr">
        <is>
          <t>Vaso 12 oz</t>
        </is>
      </c>
      <c r="D29" s="36" t="n">
        <v>1</v>
      </c>
      <c r="E29" s="15">
        <f>IFERROR(IF($C29="","",INDEX(INSUMOS!$G$5:$G$84,MATCH($C29,INSUMOS!$B$5:$B$84,0))),"")</f>
        <v/>
      </c>
      <c r="F29" s="37">
        <f>IFERROR(IF($C29="","",INDEX(INSUMOS!$I$5:$I$84,MATCH($C29,INSUMOS!$B$5:$B$84,0))),"")</f>
        <v/>
      </c>
      <c r="G29" s="30">
        <f>IFERROR(IF($C29="","",$D29*$F29),"")</f>
        <v/>
      </c>
      <c r="H29" s="28" t="inlineStr"/>
      <c r="I29" s="38">
        <f>IF($B29="","",SUMIFS(VENTAS!$D$5:$D$504,VENTAS!$B$5:$B$504,INICIO!$C$8,VENTAS!$C$5:$C$504,$B29))</f>
        <v/>
      </c>
      <c r="J29" s="38">
        <f>IF($C29="","",$D29*$I29)</f>
        <v/>
      </c>
    </row>
    <row r="30">
      <c r="A30" s="29" t="n">
        <v>26</v>
      </c>
      <c r="B30" s="28" t="inlineStr">
        <is>
          <t>Naranja s/alcohol</t>
        </is>
      </c>
      <c r="C30" s="28" t="inlineStr">
        <is>
          <t>Tapa domo 12 oz</t>
        </is>
      </c>
      <c r="D30" s="36" t="n">
        <v>1</v>
      </c>
      <c r="E30" s="15">
        <f>IFERROR(IF($C30="","",INDEX(INSUMOS!$G$5:$G$84,MATCH($C30,INSUMOS!$B$5:$B$84,0))),"")</f>
        <v/>
      </c>
      <c r="F30" s="37">
        <f>IFERROR(IF($C30="","",INDEX(INSUMOS!$I$5:$I$84,MATCH($C30,INSUMOS!$B$5:$B$84,0))),"")</f>
        <v/>
      </c>
      <c r="G30" s="30">
        <f>IFERROR(IF($C30="","",$D30*$F30),"")</f>
        <v/>
      </c>
      <c r="H30" s="28" t="inlineStr"/>
      <c r="I30" s="38">
        <f>IF($B30="","",SUMIFS(VENTAS!$D$5:$D$504,VENTAS!$B$5:$B$504,INICIO!$C$8,VENTAS!$C$5:$C$504,$B30))</f>
        <v/>
      </c>
      <c r="J30" s="38">
        <f>IF($C30="","",$D30*$I30)</f>
        <v/>
      </c>
    </row>
    <row r="31">
      <c r="A31" s="29" t="n">
        <v>27</v>
      </c>
      <c r="B31" s="28" t="inlineStr">
        <is>
          <t>Naranja s/alcohol</t>
        </is>
      </c>
      <c r="C31" s="28" t="inlineStr">
        <is>
          <t>Pitillo</t>
        </is>
      </c>
      <c r="D31" s="36" t="n">
        <v>1</v>
      </c>
      <c r="E31" s="15">
        <f>IFERROR(IF($C31="","",INDEX(INSUMOS!$G$5:$G$84,MATCH($C31,INSUMOS!$B$5:$B$84,0))),"")</f>
        <v/>
      </c>
      <c r="F31" s="37">
        <f>IFERROR(IF($C31="","",INDEX(INSUMOS!$I$5:$I$84,MATCH($C31,INSUMOS!$B$5:$B$84,0))),"")</f>
        <v/>
      </c>
      <c r="G31" s="30">
        <f>IFERROR(IF($C31="","",$D31*$F31),"")</f>
        <v/>
      </c>
      <c r="H31" s="28" t="inlineStr"/>
      <c r="I31" s="38">
        <f>IF($B31="","",SUMIFS(VENTAS!$D$5:$D$504,VENTAS!$B$5:$B$504,INICIO!$C$8,VENTAS!$C$5:$C$504,$B31))</f>
        <v/>
      </c>
      <c r="J31" s="38">
        <f>IF($C31="","",$D31*$I31)</f>
        <v/>
      </c>
    </row>
    <row r="32">
      <c r="A32" s="29" t="n">
        <v>28</v>
      </c>
      <c r="B32" s="28" t="inlineStr">
        <is>
          <t>Naranja s/alcohol</t>
        </is>
      </c>
      <c r="C32" s="28" t="inlineStr">
        <is>
          <t>Servilleta</t>
        </is>
      </c>
      <c r="D32" s="36" t="n">
        <v>1</v>
      </c>
      <c r="E32" s="15">
        <f>IFERROR(IF($C32="","",INDEX(INSUMOS!$G$5:$G$84,MATCH($C32,INSUMOS!$B$5:$B$84,0))),"")</f>
        <v/>
      </c>
      <c r="F32" s="37">
        <f>IFERROR(IF($C32="","",INDEX(INSUMOS!$I$5:$I$84,MATCH($C32,INSUMOS!$B$5:$B$84,0))),"")</f>
        <v/>
      </c>
      <c r="G32" s="30">
        <f>IFERROR(IF($C32="","",$D32*$F32),"")</f>
        <v/>
      </c>
      <c r="H32" s="28" t="inlineStr"/>
      <c r="I32" s="38">
        <f>IF($B32="","",SUMIFS(VENTAS!$D$5:$D$504,VENTAS!$B$5:$B$504,INICIO!$C$8,VENTAS!$C$5:$C$504,$B32))</f>
        <v/>
      </c>
      <c r="J32" s="38">
        <f>IF($C32="","",$D32*$I32)</f>
        <v/>
      </c>
    </row>
    <row r="33">
      <c r="A33" s="29" t="n">
        <v>29</v>
      </c>
      <c r="B33" s="28" t="inlineStr">
        <is>
          <t>Oreo s/alcohol</t>
        </is>
      </c>
      <c r="C33" s="28" t="inlineStr">
        <is>
          <t>Galleta Oreo</t>
        </is>
      </c>
      <c r="D33" s="36" t="n">
        <v>4</v>
      </c>
      <c r="E33" s="15">
        <f>IFERROR(IF($C33="","",INDEX(INSUMOS!$G$5:$G$84,MATCH($C33,INSUMOS!$B$5:$B$84,0))),"")</f>
        <v/>
      </c>
      <c r="F33" s="37">
        <f>IFERROR(IF($C33="","",INDEX(INSUMOS!$I$5:$I$84,MATCH($C33,INSUMOS!$B$5:$B$84,0))),"")</f>
        <v/>
      </c>
      <c r="G33" s="30">
        <f>IFERROR(IF($C33="","",$D33*$F33),"")</f>
        <v/>
      </c>
      <c r="H33" s="28" t="inlineStr">
        <is>
          <t>3 licuadas + 1 para decorar</t>
        </is>
      </c>
      <c r="I33" s="38">
        <f>IF($B33="","",SUMIFS(VENTAS!$D$5:$D$504,VENTAS!$B$5:$B$504,INICIO!$C$8,VENTAS!$C$5:$C$504,$B33))</f>
        <v/>
      </c>
      <c r="J33" s="38">
        <f>IF($C33="","",$D33*$I33)</f>
        <v/>
      </c>
    </row>
    <row r="34">
      <c r="A34" s="29" t="n">
        <v>30</v>
      </c>
      <c r="B34" s="28" t="inlineStr">
        <is>
          <t>Oreo s/alcohol</t>
        </is>
      </c>
      <c r="C34" s="28" t="inlineStr">
        <is>
          <t>Leche entera</t>
        </is>
      </c>
      <c r="D34" s="36" t="n">
        <v>100</v>
      </c>
      <c r="E34" s="15">
        <f>IFERROR(IF($C34="","",INDEX(INSUMOS!$G$5:$G$84,MATCH($C34,INSUMOS!$B$5:$B$84,0))),"")</f>
        <v/>
      </c>
      <c r="F34" s="37">
        <f>IFERROR(IF($C34="","",INDEX(INSUMOS!$I$5:$I$84,MATCH($C34,INSUMOS!$B$5:$B$84,0))),"")</f>
        <v/>
      </c>
      <c r="G34" s="30">
        <f>IFERROR(IF($C34="","",$D34*$F34),"")</f>
        <v/>
      </c>
      <c r="H34" s="28" t="inlineStr"/>
      <c r="I34" s="38">
        <f>IF($B34="","",SUMIFS(VENTAS!$D$5:$D$504,VENTAS!$B$5:$B$504,INICIO!$C$8,VENTAS!$C$5:$C$504,$B34))</f>
        <v/>
      </c>
      <c r="J34" s="38">
        <f>IF($C34="","",$D34*$I34)</f>
        <v/>
      </c>
    </row>
    <row r="35">
      <c r="A35" s="29" t="n">
        <v>31</v>
      </c>
      <c r="B35" s="28" t="inlineStr">
        <is>
          <t>Oreo s/alcohol</t>
        </is>
      </c>
      <c r="C35" s="28" t="inlineStr">
        <is>
          <t>Hielo en cubos</t>
        </is>
      </c>
      <c r="D35" s="36" t="n">
        <v>150</v>
      </c>
      <c r="E35" s="15">
        <f>IFERROR(IF($C35="","",INDEX(INSUMOS!$G$5:$G$84,MATCH($C35,INSUMOS!$B$5:$B$84,0))),"")</f>
        <v/>
      </c>
      <c r="F35" s="37">
        <f>IFERROR(IF($C35="","",INDEX(INSUMOS!$I$5:$I$84,MATCH($C35,INSUMOS!$B$5:$B$84,0))),"")</f>
        <v/>
      </c>
      <c r="G35" s="30">
        <f>IFERROR(IF($C35="","",$D35*$F35),"")</f>
        <v/>
      </c>
      <c r="H35" s="28" t="inlineStr">
        <is>
          <t>~10 cubos</t>
        </is>
      </c>
      <c r="I35" s="38">
        <f>IF($B35="","",SUMIFS(VENTAS!$D$5:$D$504,VENTAS!$B$5:$B$504,INICIO!$C$8,VENTAS!$C$5:$C$504,$B35))</f>
        <v/>
      </c>
      <c r="J35" s="38">
        <f>IF($C35="","",$D35*$I35)</f>
        <v/>
      </c>
    </row>
    <row r="36">
      <c r="A36" s="29" t="n">
        <v>32</v>
      </c>
      <c r="B36" s="28" t="inlineStr">
        <is>
          <t>Oreo s/alcohol</t>
        </is>
      </c>
      <c r="C36" s="28" t="inlineStr">
        <is>
          <t>Crema de leche</t>
        </is>
      </c>
      <c r="D36" s="36" t="n">
        <v>20</v>
      </c>
      <c r="E36" s="15">
        <f>IFERROR(IF($C36="","",INDEX(INSUMOS!$G$5:$G$84,MATCH($C36,INSUMOS!$B$5:$B$84,0))),"")</f>
        <v/>
      </c>
      <c r="F36" s="37">
        <f>IFERROR(IF($C36="","",INDEX(INSUMOS!$I$5:$I$84,MATCH($C36,INSUMOS!$B$5:$B$84,0))),"")</f>
        <v/>
      </c>
      <c r="G36" s="30">
        <f>IFERROR(IF($C36="","",$D36*$F36),"")</f>
        <v/>
      </c>
      <c r="H36" s="28" t="inlineStr">
        <is>
          <t>opcional</t>
        </is>
      </c>
      <c r="I36" s="38">
        <f>IF($B36="","",SUMIFS(VENTAS!$D$5:$D$504,VENTAS!$B$5:$B$504,INICIO!$C$8,VENTAS!$C$5:$C$504,$B36))</f>
        <v/>
      </c>
      <c r="J36" s="38">
        <f>IF($C36="","",$D36*$I36)</f>
        <v/>
      </c>
    </row>
    <row r="37">
      <c r="A37" s="29" t="n">
        <v>33</v>
      </c>
      <c r="B37" s="28" t="inlineStr">
        <is>
          <t>Oreo s/alcohol</t>
        </is>
      </c>
      <c r="C37" s="28" t="inlineStr">
        <is>
          <t>Vaso 12 oz</t>
        </is>
      </c>
      <c r="D37" s="36" t="n">
        <v>1</v>
      </c>
      <c r="E37" s="15">
        <f>IFERROR(IF($C37="","",INDEX(INSUMOS!$G$5:$G$84,MATCH($C37,INSUMOS!$B$5:$B$84,0))),"")</f>
        <v/>
      </c>
      <c r="F37" s="37">
        <f>IFERROR(IF($C37="","",INDEX(INSUMOS!$I$5:$I$84,MATCH($C37,INSUMOS!$B$5:$B$84,0))),"")</f>
        <v/>
      </c>
      <c r="G37" s="30">
        <f>IFERROR(IF($C37="","",$D37*$F37),"")</f>
        <v/>
      </c>
      <c r="H37" s="28" t="inlineStr"/>
      <c r="I37" s="38">
        <f>IF($B37="","",SUMIFS(VENTAS!$D$5:$D$504,VENTAS!$B$5:$B$504,INICIO!$C$8,VENTAS!$C$5:$C$504,$B37))</f>
        <v/>
      </c>
      <c r="J37" s="38">
        <f>IF($C37="","",$D37*$I37)</f>
        <v/>
      </c>
    </row>
    <row r="38">
      <c r="A38" s="29" t="n">
        <v>34</v>
      </c>
      <c r="B38" s="28" t="inlineStr">
        <is>
          <t>Oreo s/alcohol</t>
        </is>
      </c>
      <c r="C38" s="28" t="inlineStr">
        <is>
          <t>Tapa domo 12 oz</t>
        </is>
      </c>
      <c r="D38" s="36" t="n">
        <v>1</v>
      </c>
      <c r="E38" s="15">
        <f>IFERROR(IF($C38="","",INDEX(INSUMOS!$G$5:$G$84,MATCH($C38,INSUMOS!$B$5:$B$84,0))),"")</f>
        <v/>
      </c>
      <c r="F38" s="37">
        <f>IFERROR(IF($C38="","",INDEX(INSUMOS!$I$5:$I$84,MATCH($C38,INSUMOS!$B$5:$B$84,0))),"")</f>
        <v/>
      </c>
      <c r="G38" s="30">
        <f>IFERROR(IF($C38="","",$D38*$F38),"")</f>
        <v/>
      </c>
      <c r="H38" s="28" t="inlineStr"/>
      <c r="I38" s="38">
        <f>IF($B38="","",SUMIFS(VENTAS!$D$5:$D$504,VENTAS!$B$5:$B$504,INICIO!$C$8,VENTAS!$C$5:$C$504,$B38))</f>
        <v/>
      </c>
      <c r="J38" s="38">
        <f>IF($C38="","",$D38*$I38)</f>
        <v/>
      </c>
    </row>
    <row r="39">
      <c r="A39" s="29" t="n">
        <v>35</v>
      </c>
      <c r="B39" s="28" t="inlineStr">
        <is>
          <t>Oreo s/alcohol</t>
        </is>
      </c>
      <c r="C39" s="28" t="inlineStr">
        <is>
          <t>Pitillo</t>
        </is>
      </c>
      <c r="D39" s="36" t="n">
        <v>1</v>
      </c>
      <c r="E39" s="15">
        <f>IFERROR(IF($C39="","",INDEX(INSUMOS!$G$5:$G$84,MATCH($C39,INSUMOS!$B$5:$B$84,0))),"")</f>
        <v/>
      </c>
      <c r="F39" s="37">
        <f>IFERROR(IF($C39="","",INDEX(INSUMOS!$I$5:$I$84,MATCH($C39,INSUMOS!$B$5:$B$84,0))),"")</f>
        <v/>
      </c>
      <c r="G39" s="30">
        <f>IFERROR(IF($C39="","",$D39*$F39),"")</f>
        <v/>
      </c>
      <c r="H39" s="28" t="inlineStr"/>
      <c r="I39" s="38">
        <f>IF($B39="","",SUMIFS(VENTAS!$D$5:$D$504,VENTAS!$B$5:$B$504,INICIO!$C$8,VENTAS!$C$5:$C$504,$B39))</f>
        <v/>
      </c>
      <c r="J39" s="38">
        <f>IF($C39="","",$D39*$I39)</f>
        <v/>
      </c>
    </row>
    <row r="40">
      <c r="A40" s="29" t="n">
        <v>36</v>
      </c>
      <c r="B40" s="28" t="inlineStr">
        <is>
          <t>Oreo s/alcohol</t>
        </is>
      </c>
      <c r="C40" s="28" t="inlineStr">
        <is>
          <t>Servilleta</t>
        </is>
      </c>
      <c r="D40" s="36" t="n">
        <v>1</v>
      </c>
      <c r="E40" s="15">
        <f>IFERROR(IF($C40="","",INDEX(INSUMOS!$G$5:$G$84,MATCH($C40,INSUMOS!$B$5:$B$84,0))),"")</f>
        <v/>
      </c>
      <c r="F40" s="37">
        <f>IFERROR(IF($C40="","",INDEX(INSUMOS!$I$5:$I$84,MATCH($C40,INSUMOS!$B$5:$B$84,0))),"")</f>
        <v/>
      </c>
      <c r="G40" s="30">
        <f>IFERROR(IF($C40="","",$D40*$F40),"")</f>
        <v/>
      </c>
      <c r="H40" s="28" t="inlineStr"/>
      <c r="I40" s="38">
        <f>IF($B40="","",SUMIFS(VENTAS!$D$5:$D$504,VENTAS!$B$5:$B$504,INICIO!$C$8,VENTAS!$C$5:$C$504,$B40))</f>
        <v/>
      </c>
      <c r="J40" s="38">
        <f>IF($C40="","",$D40*$I40)</f>
        <v/>
      </c>
    </row>
    <row r="41">
      <c r="A41" s="29" t="n">
        <v>37</v>
      </c>
      <c r="B41" s="28" t="inlineStr">
        <is>
          <t>Nutella s/alcohol</t>
        </is>
      </c>
      <c r="C41" s="28" t="inlineStr">
        <is>
          <t>Nutella</t>
        </is>
      </c>
      <c r="D41" s="36" t="n">
        <v>30</v>
      </c>
      <c r="E41" s="15">
        <f>IFERROR(IF($C41="","",INDEX(INSUMOS!$G$5:$G$84,MATCH($C41,INSUMOS!$B$5:$B$84,0))),"")</f>
        <v/>
      </c>
      <c r="F41" s="37">
        <f>IFERROR(IF($C41="","",INDEX(INSUMOS!$I$5:$I$84,MATCH($C41,INSUMOS!$B$5:$B$84,0))),"")</f>
        <v/>
      </c>
      <c r="G41" s="30">
        <f>IFERROR(IF($C41="","",$D41*$F41),"")</f>
        <v/>
      </c>
      <c r="H41" s="28" t="inlineStr">
        <is>
          <t>2 cucharadas soperas</t>
        </is>
      </c>
      <c r="I41" s="38">
        <f>IF($B41="","",SUMIFS(VENTAS!$D$5:$D$504,VENTAS!$B$5:$B$504,INICIO!$C$8,VENTAS!$C$5:$C$504,$B41))</f>
        <v/>
      </c>
      <c r="J41" s="38">
        <f>IF($C41="","",$D41*$I41)</f>
        <v/>
      </c>
    </row>
    <row r="42">
      <c r="A42" s="29" t="n">
        <v>38</v>
      </c>
      <c r="B42" s="28" t="inlineStr">
        <is>
          <t>Nutella s/alcohol</t>
        </is>
      </c>
      <c r="C42" s="28" t="inlineStr">
        <is>
          <t>Leche entera</t>
        </is>
      </c>
      <c r="D42" s="36" t="n">
        <v>120</v>
      </c>
      <c r="E42" s="15">
        <f>IFERROR(IF($C42="","",INDEX(INSUMOS!$G$5:$G$84,MATCH($C42,INSUMOS!$B$5:$B$84,0))),"")</f>
        <v/>
      </c>
      <c r="F42" s="37">
        <f>IFERROR(IF($C42="","",INDEX(INSUMOS!$I$5:$I$84,MATCH($C42,INSUMOS!$B$5:$B$84,0))),"")</f>
        <v/>
      </c>
      <c r="G42" s="30">
        <f>IFERROR(IF($C42="","",$D42*$F42),"")</f>
        <v/>
      </c>
      <c r="H42" s="28" t="inlineStr"/>
      <c r="I42" s="38">
        <f>IF($B42="","",SUMIFS(VENTAS!$D$5:$D$504,VENTAS!$B$5:$B$504,INICIO!$C$8,VENTAS!$C$5:$C$504,$B42))</f>
        <v/>
      </c>
      <c r="J42" s="38">
        <f>IF($C42="","",$D42*$I42)</f>
        <v/>
      </c>
    </row>
    <row r="43">
      <c r="A43" s="29" t="n">
        <v>39</v>
      </c>
      <c r="B43" s="28" t="inlineStr">
        <is>
          <t>Nutella s/alcohol</t>
        </is>
      </c>
      <c r="C43" s="28" t="inlineStr">
        <is>
          <t>Hielo en cubos</t>
        </is>
      </c>
      <c r="D43" s="36" t="n">
        <v>150</v>
      </c>
      <c r="E43" s="15">
        <f>IFERROR(IF($C43="","",INDEX(INSUMOS!$G$5:$G$84,MATCH($C43,INSUMOS!$B$5:$B$84,0))),"")</f>
        <v/>
      </c>
      <c r="F43" s="37">
        <f>IFERROR(IF($C43="","",INDEX(INSUMOS!$I$5:$I$84,MATCH($C43,INSUMOS!$B$5:$B$84,0))),"")</f>
        <v/>
      </c>
      <c r="G43" s="30">
        <f>IFERROR(IF($C43="","",$D43*$F43),"")</f>
        <v/>
      </c>
      <c r="H43" s="28" t="inlineStr"/>
      <c r="I43" s="38">
        <f>IF($B43="","",SUMIFS(VENTAS!$D$5:$D$504,VENTAS!$B$5:$B$504,INICIO!$C$8,VENTAS!$C$5:$C$504,$B43))</f>
        <v/>
      </c>
      <c r="J43" s="38">
        <f>IF($C43="","",$D43*$I43)</f>
        <v/>
      </c>
    </row>
    <row r="44">
      <c r="A44" s="29" t="n">
        <v>40</v>
      </c>
      <c r="B44" s="28" t="inlineStr">
        <is>
          <t>Nutella s/alcohol</t>
        </is>
      </c>
      <c r="C44" s="28" t="inlineStr">
        <is>
          <t>Vaso 12 oz</t>
        </is>
      </c>
      <c r="D44" s="36" t="n">
        <v>1</v>
      </c>
      <c r="E44" s="15">
        <f>IFERROR(IF($C44="","",INDEX(INSUMOS!$G$5:$G$84,MATCH($C44,INSUMOS!$B$5:$B$84,0))),"")</f>
        <v/>
      </c>
      <c r="F44" s="37">
        <f>IFERROR(IF($C44="","",INDEX(INSUMOS!$I$5:$I$84,MATCH($C44,INSUMOS!$B$5:$B$84,0))),"")</f>
        <v/>
      </c>
      <c r="G44" s="30">
        <f>IFERROR(IF($C44="","",$D44*$F44),"")</f>
        <v/>
      </c>
      <c r="H44" s="28" t="inlineStr"/>
      <c r="I44" s="38">
        <f>IF($B44="","",SUMIFS(VENTAS!$D$5:$D$504,VENTAS!$B$5:$B$504,INICIO!$C$8,VENTAS!$C$5:$C$504,$B44))</f>
        <v/>
      </c>
      <c r="J44" s="38">
        <f>IF($C44="","",$D44*$I44)</f>
        <v/>
      </c>
    </row>
    <row r="45">
      <c r="A45" s="29" t="n">
        <v>41</v>
      </c>
      <c r="B45" s="28" t="inlineStr">
        <is>
          <t>Nutella s/alcohol</t>
        </is>
      </c>
      <c r="C45" s="28" t="inlineStr">
        <is>
          <t>Tapa domo 12 oz</t>
        </is>
      </c>
      <c r="D45" s="36" t="n">
        <v>1</v>
      </c>
      <c r="E45" s="15">
        <f>IFERROR(IF($C45="","",INDEX(INSUMOS!$G$5:$G$84,MATCH($C45,INSUMOS!$B$5:$B$84,0))),"")</f>
        <v/>
      </c>
      <c r="F45" s="37">
        <f>IFERROR(IF($C45="","",INDEX(INSUMOS!$I$5:$I$84,MATCH($C45,INSUMOS!$B$5:$B$84,0))),"")</f>
        <v/>
      </c>
      <c r="G45" s="30">
        <f>IFERROR(IF($C45="","",$D45*$F45),"")</f>
        <v/>
      </c>
      <c r="H45" s="28" t="inlineStr"/>
      <c r="I45" s="38">
        <f>IF($B45="","",SUMIFS(VENTAS!$D$5:$D$504,VENTAS!$B$5:$B$504,INICIO!$C$8,VENTAS!$C$5:$C$504,$B45))</f>
        <v/>
      </c>
      <c r="J45" s="38">
        <f>IF($C45="","",$D45*$I45)</f>
        <v/>
      </c>
    </row>
    <row r="46">
      <c r="A46" s="29" t="n">
        <v>42</v>
      </c>
      <c r="B46" s="28" t="inlineStr">
        <is>
          <t>Nutella s/alcohol</t>
        </is>
      </c>
      <c r="C46" s="28" t="inlineStr">
        <is>
          <t>Pitillo</t>
        </is>
      </c>
      <c r="D46" s="36" t="n">
        <v>1</v>
      </c>
      <c r="E46" s="15">
        <f>IFERROR(IF($C46="","",INDEX(INSUMOS!$G$5:$G$84,MATCH($C46,INSUMOS!$B$5:$B$84,0))),"")</f>
        <v/>
      </c>
      <c r="F46" s="37">
        <f>IFERROR(IF($C46="","",INDEX(INSUMOS!$I$5:$I$84,MATCH($C46,INSUMOS!$B$5:$B$84,0))),"")</f>
        <v/>
      </c>
      <c r="G46" s="30">
        <f>IFERROR(IF($C46="","",$D46*$F46),"")</f>
        <v/>
      </c>
      <c r="H46" s="28" t="inlineStr"/>
      <c r="I46" s="38">
        <f>IF($B46="","",SUMIFS(VENTAS!$D$5:$D$504,VENTAS!$B$5:$B$504,INICIO!$C$8,VENTAS!$C$5:$C$504,$B46))</f>
        <v/>
      </c>
      <c r="J46" s="38">
        <f>IF($C46="","",$D46*$I46)</f>
        <v/>
      </c>
    </row>
    <row r="47">
      <c r="A47" s="29" t="n">
        <v>43</v>
      </c>
      <c r="B47" s="28" t="inlineStr">
        <is>
          <t>Nutella s/alcohol</t>
        </is>
      </c>
      <c r="C47" s="28" t="inlineStr">
        <is>
          <t>Servilleta</t>
        </is>
      </c>
      <c r="D47" s="36" t="n">
        <v>1</v>
      </c>
      <c r="E47" s="15">
        <f>IFERROR(IF($C47="","",INDEX(INSUMOS!$G$5:$G$84,MATCH($C47,INSUMOS!$B$5:$B$84,0))),"")</f>
        <v/>
      </c>
      <c r="F47" s="37">
        <f>IFERROR(IF($C47="","",INDEX(INSUMOS!$I$5:$I$84,MATCH($C47,INSUMOS!$B$5:$B$84,0))),"")</f>
        <v/>
      </c>
      <c r="G47" s="30">
        <f>IFERROR(IF($C47="","",$D47*$F47),"")</f>
        <v/>
      </c>
      <c r="H47" s="28" t="inlineStr"/>
      <c r="I47" s="38">
        <f>IF($B47="","",SUMIFS(VENTAS!$D$5:$D$504,VENTAS!$B$5:$B$504,INICIO!$C$8,VENTAS!$C$5:$C$504,$B47))</f>
        <v/>
      </c>
      <c r="J47" s="38">
        <f>IF($C47="","",$D47*$I47)</f>
        <v/>
      </c>
    </row>
    <row r="48">
      <c r="A48" s="29" t="n">
        <v>44</v>
      </c>
      <c r="B48" s="28" t="inlineStr">
        <is>
          <t>Cafe s/alcohol</t>
        </is>
      </c>
      <c r="C48" s="28" t="inlineStr">
        <is>
          <t>Cafe soluble</t>
        </is>
      </c>
      <c r="D48" s="36" t="n">
        <v>4</v>
      </c>
      <c r="E48" s="15">
        <f>IFERROR(IF($C48="","",INDEX(INSUMOS!$G$5:$G$84,MATCH($C48,INSUMOS!$B$5:$B$84,0))),"")</f>
        <v/>
      </c>
      <c r="F48" s="37">
        <f>IFERROR(IF($C48="","",INDEX(INSUMOS!$I$5:$I$84,MATCH($C48,INSUMOS!$B$5:$B$84,0))),"")</f>
        <v/>
      </c>
      <c r="G48" s="30">
        <f>IFERROR(IF($C48="","",$D48*$F48),"")</f>
        <v/>
      </c>
      <c r="H48" s="28" t="inlineStr">
        <is>
          <t>2 cucharaditas, disolver primero</t>
        </is>
      </c>
      <c r="I48" s="38">
        <f>IF($B48="","",SUMIFS(VENTAS!$D$5:$D$504,VENTAS!$B$5:$B$504,INICIO!$C$8,VENTAS!$C$5:$C$504,$B48))</f>
        <v/>
      </c>
      <c r="J48" s="38">
        <f>IF($C48="","",$D48*$I48)</f>
        <v/>
      </c>
    </row>
    <row r="49">
      <c r="A49" s="29" t="n">
        <v>45</v>
      </c>
      <c r="B49" s="28" t="inlineStr">
        <is>
          <t>Cafe s/alcohol</t>
        </is>
      </c>
      <c r="C49" s="28" t="inlineStr">
        <is>
          <t>Leche condensada</t>
        </is>
      </c>
      <c r="D49" s="36" t="n">
        <v>20</v>
      </c>
      <c r="E49" s="15">
        <f>IFERROR(IF($C49="","",INDEX(INSUMOS!$G$5:$G$84,MATCH($C49,INSUMOS!$B$5:$B$84,0))),"")</f>
        <v/>
      </c>
      <c r="F49" s="37">
        <f>IFERROR(IF($C49="","",INDEX(INSUMOS!$I$5:$I$84,MATCH($C49,INSUMOS!$B$5:$B$84,0))),"")</f>
        <v/>
      </c>
      <c r="G49" s="30">
        <f>IFERROR(IF($C49="","",$D49*$F49),"")</f>
        <v/>
      </c>
      <c r="H49" s="28" t="inlineStr"/>
      <c r="I49" s="38">
        <f>IF($B49="","",SUMIFS(VENTAS!$D$5:$D$504,VENTAS!$B$5:$B$504,INICIO!$C$8,VENTAS!$C$5:$C$504,$B49))</f>
        <v/>
      </c>
      <c r="J49" s="38">
        <f>IF($C49="","",$D49*$I49)</f>
        <v/>
      </c>
    </row>
    <row r="50">
      <c r="A50" s="29" t="n">
        <v>46</v>
      </c>
      <c r="B50" s="28" t="inlineStr">
        <is>
          <t>Cafe s/alcohol</t>
        </is>
      </c>
      <c r="C50" s="28" t="inlineStr">
        <is>
          <t>Leche entera</t>
        </is>
      </c>
      <c r="D50" s="36" t="n">
        <v>80</v>
      </c>
      <c r="E50" s="15">
        <f>IFERROR(IF($C50="","",INDEX(INSUMOS!$G$5:$G$84,MATCH($C50,INSUMOS!$B$5:$B$84,0))),"")</f>
        <v/>
      </c>
      <c r="F50" s="37">
        <f>IFERROR(IF($C50="","",INDEX(INSUMOS!$I$5:$I$84,MATCH($C50,INSUMOS!$B$5:$B$84,0))),"")</f>
        <v/>
      </c>
      <c r="G50" s="30">
        <f>IFERROR(IF($C50="","",$D50*$F50),"")</f>
        <v/>
      </c>
      <c r="H50" s="28" t="inlineStr"/>
      <c r="I50" s="38">
        <f>IF($B50="","",SUMIFS(VENTAS!$D$5:$D$504,VENTAS!$B$5:$B$504,INICIO!$C$8,VENTAS!$C$5:$C$504,$B50))</f>
        <v/>
      </c>
      <c r="J50" s="38">
        <f>IF($C50="","",$D50*$I50)</f>
        <v/>
      </c>
    </row>
    <row r="51">
      <c r="A51" s="29" t="n">
        <v>47</v>
      </c>
      <c r="B51" s="28" t="inlineStr">
        <is>
          <t>Cafe s/alcohol</t>
        </is>
      </c>
      <c r="C51" s="28" t="inlineStr">
        <is>
          <t>Hielo en cubos</t>
        </is>
      </c>
      <c r="D51" s="36" t="n">
        <v>160</v>
      </c>
      <c r="E51" s="15">
        <f>IFERROR(IF($C51="","",INDEX(INSUMOS!$G$5:$G$84,MATCH($C51,INSUMOS!$B$5:$B$84,0))),"")</f>
        <v/>
      </c>
      <c r="F51" s="37">
        <f>IFERROR(IF($C51="","",INDEX(INSUMOS!$I$5:$I$84,MATCH($C51,INSUMOS!$B$5:$B$84,0))),"")</f>
        <v/>
      </c>
      <c r="G51" s="30">
        <f>IFERROR(IF($C51="","",$D51*$F51),"")</f>
        <v/>
      </c>
      <c r="H51" s="28" t="inlineStr"/>
      <c r="I51" s="38">
        <f>IF($B51="","",SUMIFS(VENTAS!$D$5:$D$504,VENTAS!$B$5:$B$504,INICIO!$C$8,VENTAS!$C$5:$C$504,$B51))</f>
        <v/>
      </c>
      <c r="J51" s="38">
        <f>IF($C51="","",$D51*$I51)</f>
        <v/>
      </c>
    </row>
    <row r="52">
      <c r="A52" s="29" t="n">
        <v>48</v>
      </c>
      <c r="B52" s="28" t="inlineStr">
        <is>
          <t>Cafe s/alcohol</t>
        </is>
      </c>
      <c r="C52" s="28" t="inlineStr">
        <is>
          <t>Vaso 12 oz</t>
        </is>
      </c>
      <c r="D52" s="36" t="n">
        <v>1</v>
      </c>
      <c r="E52" s="15">
        <f>IFERROR(IF($C52="","",INDEX(INSUMOS!$G$5:$G$84,MATCH($C52,INSUMOS!$B$5:$B$84,0))),"")</f>
        <v/>
      </c>
      <c r="F52" s="37">
        <f>IFERROR(IF($C52="","",INDEX(INSUMOS!$I$5:$I$84,MATCH($C52,INSUMOS!$B$5:$B$84,0))),"")</f>
        <v/>
      </c>
      <c r="G52" s="30">
        <f>IFERROR(IF($C52="","",$D52*$F52),"")</f>
        <v/>
      </c>
      <c r="H52" s="28" t="inlineStr"/>
      <c r="I52" s="38">
        <f>IF($B52="","",SUMIFS(VENTAS!$D$5:$D$504,VENTAS!$B$5:$B$504,INICIO!$C$8,VENTAS!$C$5:$C$504,$B52))</f>
        <v/>
      </c>
      <c r="J52" s="38">
        <f>IF($C52="","",$D52*$I52)</f>
        <v/>
      </c>
    </row>
    <row r="53">
      <c r="A53" s="29" t="n">
        <v>49</v>
      </c>
      <c r="B53" s="28" t="inlineStr">
        <is>
          <t>Cafe s/alcohol</t>
        </is>
      </c>
      <c r="C53" s="28" t="inlineStr">
        <is>
          <t>Tapa domo 12 oz</t>
        </is>
      </c>
      <c r="D53" s="36" t="n">
        <v>1</v>
      </c>
      <c r="E53" s="15">
        <f>IFERROR(IF($C53="","",INDEX(INSUMOS!$G$5:$G$84,MATCH($C53,INSUMOS!$B$5:$B$84,0))),"")</f>
        <v/>
      </c>
      <c r="F53" s="37">
        <f>IFERROR(IF($C53="","",INDEX(INSUMOS!$I$5:$I$84,MATCH($C53,INSUMOS!$B$5:$B$84,0))),"")</f>
        <v/>
      </c>
      <c r="G53" s="30">
        <f>IFERROR(IF($C53="","",$D53*$F53),"")</f>
        <v/>
      </c>
      <c r="H53" s="28" t="inlineStr"/>
      <c r="I53" s="38">
        <f>IF($B53="","",SUMIFS(VENTAS!$D$5:$D$504,VENTAS!$B$5:$B$504,INICIO!$C$8,VENTAS!$C$5:$C$504,$B53))</f>
        <v/>
      </c>
      <c r="J53" s="38">
        <f>IF($C53="","",$D53*$I53)</f>
        <v/>
      </c>
    </row>
    <row r="54">
      <c r="A54" s="29" t="n">
        <v>50</v>
      </c>
      <c r="B54" s="28" t="inlineStr">
        <is>
          <t>Cafe s/alcohol</t>
        </is>
      </c>
      <c r="C54" s="28" t="inlineStr">
        <is>
          <t>Pitillo</t>
        </is>
      </c>
      <c r="D54" s="36" t="n">
        <v>1</v>
      </c>
      <c r="E54" s="15">
        <f>IFERROR(IF($C54="","",INDEX(INSUMOS!$G$5:$G$84,MATCH($C54,INSUMOS!$B$5:$B$84,0))),"")</f>
        <v/>
      </c>
      <c r="F54" s="37">
        <f>IFERROR(IF($C54="","",INDEX(INSUMOS!$I$5:$I$84,MATCH($C54,INSUMOS!$B$5:$B$84,0))),"")</f>
        <v/>
      </c>
      <c r="G54" s="30">
        <f>IFERROR(IF($C54="","",$D54*$F54),"")</f>
        <v/>
      </c>
      <c r="H54" s="28" t="inlineStr"/>
      <c r="I54" s="38">
        <f>IF($B54="","",SUMIFS(VENTAS!$D$5:$D$504,VENTAS!$B$5:$B$504,INICIO!$C$8,VENTAS!$C$5:$C$504,$B54))</f>
        <v/>
      </c>
      <c r="J54" s="38">
        <f>IF($C54="","",$D54*$I54)</f>
        <v/>
      </c>
    </row>
    <row r="55">
      <c r="A55" s="29" t="n">
        <v>51</v>
      </c>
      <c r="B55" s="28" t="inlineStr">
        <is>
          <t>Cafe s/alcohol</t>
        </is>
      </c>
      <c r="C55" s="28" t="inlineStr">
        <is>
          <t>Servilleta</t>
        </is>
      </c>
      <c r="D55" s="36" t="n">
        <v>1</v>
      </c>
      <c r="E55" s="15">
        <f>IFERROR(IF($C55="","",INDEX(INSUMOS!$G$5:$G$84,MATCH($C55,INSUMOS!$B$5:$B$84,0))),"")</f>
        <v/>
      </c>
      <c r="F55" s="37">
        <f>IFERROR(IF($C55="","",INDEX(INSUMOS!$I$5:$I$84,MATCH($C55,INSUMOS!$B$5:$B$84,0))),"")</f>
        <v/>
      </c>
      <c r="G55" s="30">
        <f>IFERROR(IF($C55="","",$D55*$F55),"")</f>
        <v/>
      </c>
      <c r="H55" s="28" t="inlineStr"/>
      <c r="I55" s="38">
        <f>IF($B55="","",SUMIFS(VENTAS!$D$5:$D$504,VENTAS!$B$5:$B$504,INICIO!$C$8,VENTAS!$C$5:$C$504,$B55))</f>
        <v/>
      </c>
      <c r="J55" s="38">
        <f>IF($C55="","",$D55*$I55)</f>
        <v/>
      </c>
    </row>
    <row r="56">
      <c r="A56" s="29" t="n">
        <v>52</v>
      </c>
      <c r="B56" s="28" t="inlineStr">
        <is>
          <t>Papas en cono natural</t>
        </is>
      </c>
      <c r="C56" s="28" t="inlineStr">
        <is>
          <t>Papa</t>
        </is>
      </c>
      <c r="D56" s="36" t="n">
        <v>200</v>
      </c>
      <c r="E56" s="15">
        <f>IFERROR(IF($C56="","",INDEX(INSUMOS!$G$5:$G$84,MATCH($C56,INSUMOS!$B$5:$B$84,0))),"")</f>
        <v/>
      </c>
      <c r="F56" s="37">
        <f>IFERROR(IF($C56="","",INDEX(INSUMOS!$I$5:$I$84,MATCH($C56,INSUMOS!$B$5:$B$84,0))),"")</f>
        <v/>
      </c>
      <c r="G56" s="30">
        <f>IFERROR(IF($C56="","",$D56*$F56),"")</f>
        <v/>
      </c>
      <c r="H56" s="28" t="inlineStr"/>
      <c r="I56" s="38">
        <f>IF($B56="","",SUMIFS(VENTAS!$D$5:$D$504,VENTAS!$B$5:$B$504,INICIO!$C$8,VENTAS!$C$5:$C$504,$B56))</f>
        <v/>
      </c>
      <c r="J56" s="38">
        <f>IF($C56="","",$D56*$I56)</f>
        <v/>
      </c>
    </row>
    <row r="57">
      <c r="A57" s="29" t="n">
        <v>53</v>
      </c>
      <c r="B57" s="28" t="inlineStr">
        <is>
          <t>Papas en cono natural</t>
        </is>
      </c>
      <c r="C57" s="28" t="inlineStr">
        <is>
          <t>Aceite de freir</t>
        </is>
      </c>
      <c r="D57" s="36" t="n">
        <v>35</v>
      </c>
      <c r="E57" s="15">
        <f>IFERROR(IF($C57="","",INDEX(INSUMOS!$G$5:$G$84,MATCH($C57,INSUMOS!$B$5:$B$84,0))),"")</f>
        <v/>
      </c>
      <c r="F57" s="37">
        <f>IFERROR(IF($C57="","",INDEX(INSUMOS!$I$5:$I$84,MATCH($C57,INSUMOS!$B$5:$B$84,0))),"")</f>
        <v/>
      </c>
      <c r="G57" s="30">
        <f>IFERROR(IF($C57="","",$D57*$F57),"")</f>
        <v/>
      </c>
      <c r="H57" s="28" t="inlineStr">
        <is>
          <t>absorcion estimada</t>
        </is>
      </c>
      <c r="I57" s="38">
        <f>IF($B57="","",SUMIFS(VENTAS!$D$5:$D$504,VENTAS!$B$5:$B$504,INICIO!$C$8,VENTAS!$C$5:$C$504,$B57))</f>
        <v/>
      </c>
      <c r="J57" s="38">
        <f>IF($C57="","",$D57*$I57)</f>
        <v/>
      </c>
    </row>
    <row r="58">
      <c r="A58" s="29" t="n">
        <v>54</v>
      </c>
      <c r="B58" s="28" t="inlineStr">
        <is>
          <t>Papas en cono natural</t>
        </is>
      </c>
      <c r="C58" s="28" t="inlineStr">
        <is>
          <t>Sal y condimentos</t>
        </is>
      </c>
      <c r="D58" s="36" t="n">
        <v>2</v>
      </c>
      <c r="E58" s="15">
        <f>IFERROR(IF($C58="","",INDEX(INSUMOS!$G$5:$G$84,MATCH($C58,INSUMOS!$B$5:$B$84,0))),"")</f>
        <v/>
      </c>
      <c r="F58" s="37">
        <f>IFERROR(IF($C58="","",INDEX(INSUMOS!$I$5:$I$84,MATCH($C58,INSUMOS!$B$5:$B$84,0))),"")</f>
        <v/>
      </c>
      <c r="G58" s="30">
        <f>IFERROR(IF($C58="","",$D58*$F58),"")</f>
        <v/>
      </c>
      <c r="H58" s="28" t="inlineStr"/>
      <c r="I58" s="38">
        <f>IF($B58="","",SUMIFS(VENTAS!$D$5:$D$504,VENTAS!$B$5:$B$504,INICIO!$C$8,VENTAS!$C$5:$C$504,$B58))</f>
        <v/>
      </c>
      <c r="J58" s="38">
        <f>IF($C58="","",$D58*$I58)</f>
        <v/>
      </c>
    </row>
    <row r="59">
      <c r="A59" s="29" t="n">
        <v>55</v>
      </c>
      <c r="B59" s="28" t="inlineStr">
        <is>
          <t>Papas en cono natural</t>
        </is>
      </c>
      <c r="C59" s="28" t="inlineStr">
        <is>
          <t>Cono de papel</t>
        </is>
      </c>
      <c r="D59" s="36" t="n">
        <v>1</v>
      </c>
      <c r="E59" s="15">
        <f>IFERROR(IF($C59="","",INDEX(INSUMOS!$G$5:$G$84,MATCH($C59,INSUMOS!$B$5:$B$84,0))),"")</f>
        <v/>
      </c>
      <c r="F59" s="37">
        <f>IFERROR(IF($C59="","",INDEX(INSUMOS!$I$5:$I$84,MATCH($C59,INSUMOS!$B$5:$B$84,0))),"")</f>
        <v/>
      </c>
      <c r="G59" s="30">
        <f>IFERROR(IF($C59="","",$D59*$F59),"")</f>
        <v/>
      </c>
      <c r="H59" s="28" t="inlineStr"/>
      <c r="I59" s="38">
        <f>IF($B59="","",SUMIFS(VENTAS!$D$5:$D$504,VENTAS!$B$5:$B$504,INICIO!$C$8,VENTAS!$C$5:$C$504,$B59))</f>
        <v/>
      </c>
      <c r="J59" s="38">
        <f>IF($C59="","",$D59*$I59)</f>
        <v/>
      </c>
    </row>
    <row r="60">
      <c r="A60" s="29" t="n">
        <v>56</v>
      </c>
      <c r="B60" s="28" t="inlineStr">
        <is>
          <t>Papas en cono natural</t>
        </is>
      </c>
      <c r="C60" s="28" t="inlineStr">
        <is>
          <t>Servilleta</t>
        </is>
      </c>
      <c r="D60" s="36" t="n">
        <v>2</v>
      </c>
      <c r="E60" s="15">
        <f>IFERROR(IF($C60="","",INDEX(INSUMOS!$G$5:$G$84,MATCH($C60,INSUMOS!$B$5:$B$84,0))),"")</f>
        <v/>
      </c>
      <c r="F60" s="37">
        <f>IFERROR(IF($C60="","",INDEX(INSUMOS!$I$5:$I$84,MATCH($C60,INSUMOS!$B$5:$B$84,0))),"")</f>
        <v/>
      </c>
      <c r="G60" s="30">
        <f>IFERROR(IF($C60="","",$D60*$F60),"")</f>
        <v/>
      </c>
      <c r="H60" s="28" t="inlineStr"/>
      <c r="I60" s="38">
        <f>IF($B60="","",SUMIFS(VENTAS!$D$5:$D$504,VENTAS!$B$5:$B$504,INICIO!$C$8,VENTAS!$C$5:$C$504,$B60))</f>
        <v/>
      </c>
      <c r="J60" s="38">
        <f>IF($C60="","",$D60*$I60)</f>
        <v/>
      </c>
    </row>
    <row r="61">
      <c r="A61" s="29" t="n">
        <v>57</v>
      </c>
      <c r="B61" s="28" t="inlineStr">
        <is>
          <t>Papas en cono + salsa</t>
        </is>
      </c>
      <c r="C61" s="28" t="inlineStr">
        <is>
          <t>Papa</t>
        </is>
      </c>
      <c r="D61" s="36" t="n">
        <v>200</v>
      </c>
      <c r="E61" s="15">
        <f>IFERROR(IF($C61="","",INDEX(INSUMOS!$G$5:$G$84,MATCH($C61,INSUMOS!$B$5:$B$84,0))),"")</f>
        <v/>
      </c>
      <c r="F61" s="37">
        <f>IFERROR(IF($C61="","",INDEX(INSUMOS!$I$5:$I$84,MATCH($C61,INSUMOS!$B$5:$B$84,0))),"")</f>
        <v/>
      </c>
      <c r="G61" s="30">
        <f>IFERROR(IF($C61="","",$D61*$F61),"")</f>
        <v/>
      </c>
      <c r="H61" s="28" t="inlineStr"/>
      <c r="I61" s="38">
        <f>IF($B61="","",SUMIFS(VENTAS!$D$5:$D$504,VENTAS!$B$5:$B$504,INICIO!$C$8,VENTAS!$C$5:$C$504,$B61))</f>
        <v/>
      </c>
      <c r="J61" s="38">
        <f>IF($C61="","",$D61*$I61)</f>
        <v/>
      </c>
    </row>
    <row r="62">
      <c r="A62" s="29" t="n">
        <v>58</v>
      </c>
      <c r="B62" s="28" t="inlineStr">
        <is>
          <t>Papas en cono + salsa</t>
        </is>
      </c>
      <c r="C62" s="28" t="inlineStr">
        <is>
          <t>Aceite de freir</t>
        </is>
      </c>
      <c r="D62" s="36" t="n">
        <v>35</v>
      </c>
      <c r="E62" s="15">
        <f>IFERROR(IF($C62="","",INDEX(INSUMOS!$G$5:$G$84,MATCH($C62,INSUMOS!$B$5:$B$84,0))),"")</f>
        <v/>
      </c>
      <c r="F62" s="37">
        <f>IFERROR(IF($C62="","",INDEX(INSUMOS!$I$5:$I$84,MATCH($C62,INSUMOS!$B$5:$B$84,0))),"")</f>
        <v/>
      </c>
      <c r="G62" s="30">
        <f>IFERROR(IF($C62="","",$D62*$F62),"")</f>
        <v/>
      </c>
      <c r="H62" s="28" t="inlineStr"/>
      <c r="I62" s="38">
        <f>IF($B62="","",SUMIFS(VENTAS!$D$5:$D$504,VENTAS!$B$5:$B$504,INICIO!$C$8,VENTAS!$C$5:$C$504,$B62))</f>
        <v/>
      </c>
      <c r="J62" s="38">
        <f>IF($C62="","",$D62*$I62)</f>
        <v/>
      </c>
    </row>
    <row r="63">
      <c r="A63" s="29" t="n">
        <v>59</v>
      </c>
      <c r="B63" s="28" t="inlineStr">
        <is>
          <t>Papas en cono + salsa</t>
        </is>
      </c>
      <c r="C63" s="28" t="inlineStr">
        <is>
          <t>Sal y condimentos</t>
        </is>
      </c>
      <c r="D63" s="36" t="n">
        <v>2</v>
      </c>
      <c r="E63" s="15">
        <f>IFERROR(IF($C63="","",INDEX(INSUMOS!$G$5:$G$84,MATCH($C63,INSUMOS!$B$5:$B$84,0))),"")</f>
        <v/>
      </c>
      <c r="F63" s="37">
        <f>IFERROR(IF($C63="","",INDEX(INSUMOS!$I$5:$I$84,MATCH($C63,INSUMOS!$B$5:$B$84,0))),"")</f>
        <v/>
      </c>
      <c r="G63" s="30">
        <f>IFERROR(IF($C63="","",$D63*$F63),"")</f>
        <v/>
      </c>
      <c r="H63" s="28" t="inlineStr"/>
      <c r="I63" s="38">
        <f>IF($B63="","",SUMIFS(VENTAS!$D$5:$D$504,VENTAS!$B$5:$B$504,INICIO!$C$8,VENTAS!$C$5:$C$504,$B63))</f>
        <v/>
      </c>
      <c r="J63" s="38">
        <f>IF($C63="","",$D63*$I63)</f>
        <v/>
      </c>
    </row>
    <row r="64">
      <c r="A64" s="29" t="n">
        <v>60</v>
      </c>
      <c r="B64" s="28" t="inlineStr">
        <is>
          <t>Papas en cono + salsa</t>
        </is>
      </c>
      <c r="C64" s="28" t="inlineStr">
        <is>
          <t>Cono de papel</t>
        </is>
      </c>
      <c r="D64" s="36" t="n">
        <v>1</v>
      </c>
      <c r="E64" s="15">
        <f>IFERROR(IF($C64="","",INDEX(INSUMOS!$G$5:$G$84,MATCH($C64,INSUMOS!$B$5:$B$84,0))),"")</f>
        <v/>
      </c>
      <c r="F64" s="37">
        <f>IFERROR(IF($C64="","",INDEX(INSUMOS!$I$5:$I$84,MATCH($C64,INSUMOS!$B$5:$B$84,0))),"")</f>
        <v/>
      </c>
      <c r="G64" s="30">
        <f>IFERROR(IF($C64="","",$D64*$F64),"")</f>
        <v/>
      </c>
      <c r="H64" s="28" t="inlineStr"/>
      <c r="I64" s="38">
        <f>IF($B64="","",SUMIFS(VENTAS!$D$5:$D$504,VENTAS!$B$5:$B$504,INICIO!$C$8,VENTAS!$C$5:$C$504,$B64))</f>
        <v/>
      </c>
      <c r="J64" s="38">
        <f>IF($C64="","",$D64*$I64)</f>
        <v/>
      </c>
    </row>
    <row r="65">
      <c r="A65" s="29" t="n">
        <v>61</v>
      </c>
      <c r="B65" s="28" t="inlineStr">
        <is>
          <t>Papas en cono + salsa</t>
        </is>
      </c>
      <c r="C65" s="28" t="inlineStr">
        <is>
          <t>Servilleta</t>
        </is>
      </c>
      <c r="D65" s="36" t="n">
        <v>2</v>
      </c>
      <c r="E65" s="15">
        <f>IFERROR(IF($C65="","",INDEX(INSUMOS!$G$5:$G$84,MATCH($C65,INSUMOS!$B$5:$B$84,0))),"")</f>
        <v/>
      </c>
      <c r="F65" s="37">
        <f>IFERROR(IF($C65="","",INDEX(INSUMOS!$I$5:$I$84,MATCH($C65,INSUMOS!$B$5:$B$84,0))),"")</f>
        <v/>
      </c>
      <c r="G65" s="30">
        <f>IFERROR(IF($C65="","",$D65*$F65),"")</f>
        <v/>
      </c>
      <c r="H65" s="28" t="inlineStr"/>
      <c r="I65" s="38">
        <f>IF($B65="","",SUMIFS(VENTAS!$D$5:$D$504,VENTAS!$B$5:$B$504,INICIO!$C$8,VENTAS!$C$5:$C$504,$B65))</f>
        <v/>
      </c>
      <c r="J65" s="38">
        <f>IF($C65="","",$D65*$I65)</f>
        <v/>
      </c>
    </row>
    <row r="66">
      <c r="A66" s="29" t="n">
        <v>62</v>
      </c>
      <c r="B66" s="28" t="inlineStr">
        <is>
          <t>Papas en cono + salsa</t>
        </is>
      </c>
      <c r="C66" s="28" t="inlineStr">
        <is>
          <t>Salsa porcion (sachet)</t>
        </is>
      </c>
      <c r="D66" s="36" t="n">
        <v>1</v>
      </c>
      <c r="E66" s="15">
        <f>IFERROR(IF($C66="","",INDEX(INSUMOS!$G$5:$G$84,MATCH($C66,INSUMOS!$B$5:$B$84,0))),"")</f>
        <v/>
      </c>
      <c r="F66" s="37">
        <f>IFERROR(IF($C66="","",INDEX(INSUMOS!$I$5:$I$84,MATCH($C66,INSUMOS!$B$5:$B$84,0))),"")</f>
        <v/>
      </c>
      <c r="G66" s="30">
        <f>IFERROR(IF($C66="","",$D66*$F66),"")</f>
        <v/>
      </c>
      <c r="H66" s="28" t="inlineStr"/>
      <c r="I66" s="38">
        <f>IF($B66="","",SUMIFS(VENTAS!$D$5:$D$504,VENTAS!$B$5:$B$504,INICIO!$C$8,VENTAS!$C$5:$C$504,$B66))</f>
        <v/>
      </c>
      <c r="J66" s="38">
        <f>IF($C66="","",$D66*$I66)</f>
        <v/>
      </c>
    </row>
    <row r="67">
      <c r="A67" s="29" t="n">
        <v>63</v>
      </c>
      <c r="B67" s="28" t="inlineStr">
        <is>
          <t>Coco c/alcohol</t>
        </is>
      </c>
      <c r="C67" s="28" t="inlineStr">
        <is>
          <t>Jarabe Coco</t>
        </is>
      </c>
      <c r="D67" s="36" t="n">
        <v>63</v>
      </c>
      <c r="E67" s="15">
        <f>IFERROR(IF($C67="","",INDEX(INSUMOS!$G$5:$G$84,MATCH($C67,INSUMOS!$B$5:$B$84,0))),"")</f>
        <v/>
      </c>
      <c r="F67" s="37">
        <f>IFERROR(IF($C67="","",INDEX(INSUMOS!$I$5:$I$84,MATCH($C67,INSUMOS!$B$5:$B$84,0))),"")</f>
        <v/>
      </c>
      <c r="G67" s="30">
        <f>IFERROR(IF($C67="","",$D67*$F67),"")</f>
        <v/>
      </c>
      <c r="H67" s="28" t="inlineStr">
        <is>
          <t>63ml jarabe + 190ml agua</t>
        </is>
      </c>
      <c r="I67" s="38">
        <f>IF($B67="","",SUMIFS(VENTAS!$D$5:$D$504,VENTAS!$B$5:$B$504,INICIO!$C$8,VENTAS!$C$5:$C$504,$B67))</f>
        <v/>
      </c>
      <c r="J67" s="38">
        <f>IF($C67="","",$D67*$I67)</f>
        <v/>
      </c>
    </row>
    <row r="68">
      <c r="A68" s="29" t="n">
        <v>64</v>
      </c>
      <c r="B68" s="28" t="inlineStr">
        <is>
          <t>Coco c/alcohol</t>
        </is>
      </c>
      <c r="C68" s="28" t="inlineStr">
        <is>
          <t>Agua purificada</t>
        </is>
      </c>
      <c r="D68" s="36" t="n">
        <v>190</v>
      </c>
      <c r="E68" s="15">
        <f>IFERROR(IF($C68="","",INDEX(INSUMOS!$G$5:$G$84,MATCH($C68,INSUMOS!$B$5:$B$84,0))),"")</f>
        <v/>
      </c>
      <c r="F68" s="37">
        <f>IFERROR(IF($C68="","",INDEX(INSUMOS!$I$5:$I$84,MATCH($C68,INSUMOS!$B$5:$B$84,0))),"")</f>
        <v/>
      </c>
      <c r="G68" s="30">
        <f>IFERROR(IF($C68="","",$D68*$F68),"")</f>
        <v/>
      </c>
      <c r="H68" s="28" t="inlineStr"/>
      <c r="I68" s="38">
        <f>IF($B68="","",SUMIFS(VENTAS!$D$5:$D$504,VENTAS!$B$5:$B$504,INICIO!$C$8,VENTAS!$C$5:$C$504,$B68))</f>
        <v/>
      </c>
      <c r="J68" s="38">
        <f>IF($C68="","",$D68*$I68)</f>
        <v/>
      </c>
    </row>
    <row r="69">
      <c r="A69" s="29" t="n">
        <v>65</v>
      </c>
      <c r="B69" s="28" t="inlineStr">
        <is>
          <t>Coco c/alcohol</t>
        </is>
      </c>
      <c r="C69" s="28" t="inlineStr">
        <is>
          <t>Energia maquina granizadora</t>
        </is>
      </c>
      <c r="D69" s="36" t="n">
        <v>1</v>
      </c>
      <c r="E69" s="15">
        <f>IFERROR(IF($C69="","",INDEX(INSUMOS!$G$5:$G$84,MATCH($C69,INSUMOS!$B$5:$B$84,0))),"")</f>
        <v/>
      </c>
      <c r="F69" s="37">
        <f>IFERROR(IF($C69="","",INDEX(INSUMOS!$I$5:$I$84,MATCH($C69,INSUMOS!$B$5:$B$84,0))),"")</f>
        <v/>
      </c>
      <c r="G69" s="30">
        <f>IFERROR(IF($C69="","",$D69*$F69),"")</f>
        <v/>
      </c>
      <c r="H69" s="28" t="inlineStr"/>
      <c r="I69" s="38">
        <f>IF($B69="","",SUMIFS(VENTAS!$D$5:$D$504,VENTAS!$B$5:$B$504,INICIO!$C$8,VENTAS!$C$5:$C$504,$B69))</f>
        <v/>
      </c>
      <c r="J69" s="38">
        <f>IF($C69="","",$D69*$I69)</f>
        <v/>
      </c>
    </row>
    <row r="70">
      <c r="A70" s="29" t="n">
        <v>66</v>
      </c>
      <c r="B70" s="28" t="inlineStr">
        <is>
          <t>Coco c/alcohol</t>
        </is>
      </c>
      <c r="C70" s="28" t="inlineStr">
        <is>
          <t>Vaso 12 oz</t>
        </is>
      </c>
      <c r="D70" s="36" t="n">
        <v>1</v>
      </c>
      <c r="E70" s="15">
        <f>IFERROR(IF($C70="","",INDEX(INSUMOS!$G$5:$G$84,MATCH($C70,INSUMOS!$B$5:$B$84,0))),"")</f>
        <v/>
      </c>
      <c r="F70" s="37">
        <f>IFERROR(IF($C70="","",INDEX(INSUMOS!$I$5:$I$84,MATCH($C70,INSUMOS!$B$5:$B$84,0))),"")</f>
        <v/>
      </c>
      <c r="G70" s="30">
        <f>IFERROR(IF($C70="","",$D70*$F70),"")</f>
        <v/>
      </c>
      <c r="H70" s="28" t="inlineStr"/>
      <c r="I70" s="38">
        <f>IF($B70="","",SUMIFS(VENTAS!$D$5:$D$504,VENTAS!$B$5:$B$504,INICIO!$C$8,VENTAS!$C$5:$C$504,$B70))</f>
        <v/>
      </c>
      <c r="J70" s="38">
        <f>IF($C70="","",$D70*$I70)</f>
        <v/>
      </c>
    </row>
    <row r="71">
      <c r="A71" s="29" t="n">
        <v>67</v>
      </c>
      <c r="B71" s="28" t="inlineStr">
        <is>
          <t>Coco c/alcohol</t>
        </is>
      </c>
      <c r="C71" s="28" t="inlineStr">
        <is>
          <t>Tapa domo 12 oz</t>
        </is>
      </c>
      <c r="D71" s="36" t="n">
        <v>1</v>
      </c>
      <c r="E71" s="15">
        <f>IFERROR(IF($C71="","",INDEX(INSUMOS!$G$5:$G$84,MATCH($C71,INSUMOS!$B$5:$B$84,0))),"")</f>
        <v/>
      </c>
      <c r="F71" s="37">
        <f>IFERROR(IF($C71="","",INDEX(INSUMOS!$I$5:$I$84,MATCH($C71,INSUMOS!$B$5:$B$84,0))),"")</f>
        <v/>
      </c>
      <c r="G71" s="30">
        <f>IFERROR(IF($C71="","",$D71*$F71),"")</f>
        <v/>
      </c>
      <c r="H71" s="28" t="inlineStr"/>
      <c r="I71" s="38">
        <f>IF($B71="","",SUMIFS(VENTAS!$D$5:$D$504,VENTAS!$B$5:$B$504,INICIO!$C$8,VENTAS!$C$5:$C$504,$B71))</f>
        <v/>
      </c>
      <c r="J71" s="38">
        <f>IF($C71="","",$D71*$I71)</f>
        <v/>
      </c>
    </row>
    <row r="72">
      <c r="A72" s="29" t="n">
        <v>68</v>
      </c>
      <c r="B72" s="28" t="inlineStr">
        <is>
          <t>Coco c/alcohol</t>
        </is>
      </c>
      <c r="C72" s="28" t="inlineStr">
        <is>
          <t>Pitillo</t>
        </is>
      </c>
      <c r="D72" s="36" t="n">
        <v>1</v>
      </c>
      <c r="E72" s="15">
        <f>IFERROR(IF($C72="","",INDEX(INSUMOS!$G$5:$G$84,MATCH($C72,INSUMOS!$B$5:$B$84,0))),"")</f>
        <v/>
      </c>
      <c r="F72" s="37">
        <f>IFERROR(IF($C72="","",INDEX(INSUMOS!$I$5:$I$84,MATCH($C72,INSUMOS!$B$5:$B$84,0))),"")</f>
        <v/>
      </c>
      <c r="G72" s="30">
        <f>IFERROR(IF($C72="","",$D72*$F72),"")</f>
        <v/>
      </c>
      <c r="H72" s="28" t="inlineStr"/>
      <c r="I72" s="38">
        <f>IF($B72="","",SUMIFS(VENTAS!$D$5:$D$504,VENTAS!$B$5:$B$504,INICIO!$C$8,VENTAS!$C$5:$C$504,$B72))</f>
        <v/>
      </c>
      <c r="J72" s="38">
        <f>IF($C72="","",$D72*$I72)</f>
        <v/>
      </c>
    </row>
    <row r="73">
      <c r="A73" s="29" t="n">
        <v>69</v>
      </c>
      <c r="B73" s="28" t="inlineStr">
        <is>
          <t>Coco c/alcohol</t>
        </is>
      </c>
      <c r="C73" s="28" t="inlineStr">
        <is>
          <t>Servilleta</t>
        </is>
      </c>
      <c r="D73" s="36" t="n">
        <v>1</v>
      </c>
      <c r="E73" s="15">
        <f>IFERROR(IF($C73="","",INDEX(INSUMOS!$G$5:$G$84,MATCH($C73,INSUMOS!$B$5:$B$84,0))),"")</f>
        <v/>
      </c>
      <c r="F73" s="37">
        <f>IFERROR(IF($C73="","",INDEX(INSUMOS!$I$5:$I$84,MATCH($C73,INSUMOS!$B$5:$B$84,0))),"")</f>
        <v/>
      </c>
      <c r="G73" s="30">
        <f>IFERROR(IF($C73="","",$D73*$F73),"")</f>
        <v/>
      </c>
      <c r="H73" s="28" t="inlineStr"/>
      <c r="I73" s="38">
        <f>IF($B73="","",SUMIFS(VENTAS!$D$5:$D$504,VENTAS!$B$5:$B$504,INICIO!$C$8,VENTAS!$C$5:$C$504,$B73))</f>
        <v/>
      </c>
      <c r="J73" s="38">
        <f>IF($C73="","",$D73*$I73)</f>
        <v/>
      </c>
    </row>
    <row r="74">
      <c r="A74" s="29" t="n">
        <v>70</v>
      </c>
      <c r="B74" s="28" t="inlineStr">
        <is>
          <t>Coco c/alcohol</t>
        </is>
      </c>
      <c r="C74" s="28" t="inlineStr">
        <is>
          <t>Vodka / Aguardiente</t>
        </is>
      </c>
      <c r="D74" s="36" t="n">
        <v>30</v>
      </c>
      <c r="E74" s="15">
        <f>IFERROR(IF($C74="","",INDEX(INSUMOS!$G$5:$G$84,MATCH($C74,INSUMOS!$B$5:$B$84,0))),"")</f>
        <v/>
      </c>
      <c r="F74" s="37">
        <f>IFERROR(IF($C74="","",INDEX(INSUMOS!$I$5:$I$84,MATCH($C74,INSUMOS!$B$5:$B$84,0))),"")</f>
        <v/>
      </c>
      <c r="G74" s="30">
        <f>IFERROR(IF($C74="","",$D74*$F74),"")</f>
        <v/>
      </c>
      <c r="H74" s="28" t="inlineStr">
        <is>
          <t>Porcion estandar 30ml</t>
        </is>
      </c>
      <c r="I74" s="38">
        <f>IF($B74="","",SUMIFS(VENTAS!$D$5:$D$504,VENTAS!$B$5:$B$504,INICIO!$C$8,VENTAS!$C$5:$C$504,$B74))</f>
        <v/>
      </c>
      <c r="J74" s="38">
        <f>IF($C74="","",$D74*$I74)</f>
        <v/>
      </c>
    </row>
    <row r="75">
      <c r="A75" s="29" t="n">
        <v>71</v>
      </c>
      <c r="B75" s="28" t="inlineStr">
        <is>
          <t>Frutos Rojos c/alcohol</t>
        </is>
      </c>
      <c r="C75" s="28" t="inlineStr">
        <is>
          <t>Jarabe Frutos Rojos</t>
        </is>
      </c>
      <c r="D75" s="36" t="n">
        <v>63</v>
      </c>
      <c r="E75" s="15">
        <f>IFERROR(IF($C75="","",INDEX(INSUMOS!$G$5:$G$84,MATCH($C75,INSUMOS!$B$5:$B$84,0))),"")</f>
        <v/>
      </c>
      <c r="F75" s="37">
        <f>IFERROR(IF($C75="","",INDEX(INSUMOS!$I$5:$I$84,MATCH($C75,INSUMOS!$B$5:$B$84,0))),"")</f>
        <v/>
      </c>
      <c r="G75" s="30">
        <f>IFERROR(IF($C75="","",$D75*$F75),"")</f>
        <v/>
      </c>
      <c r="H75" s="28" t="inlineStr"/>
      <c r="I75" s="38">
        <f>IF($B75="","",SUMIFS(VENTAS!$D$5:$D$504,VENTAS!$B$5:$B$504,INICIO!$C$8,VENTAS!$C$5:$C$504,$B75))</f>
        <v/>
      </c>
      <c r="J75" s="38">
        <f>IF($C75="","",$D75*$I75)</f>
        <v/>
      </c>
    </row>
    <row r="76">
      <c r="A76" s="29" t="n">
        <v>72</v>
      </c>
      <c r="B76" s="28" t="inlineStr">
        <is>
          <t>Frutos Rojos c/alcohol</t>
        </is>
      </c>
      <c r="C76" s="28" t="inlineStr">
        <is>
          <t>Agua purificada</t>
        </is>
      </c>
      <c r="D76" s="36" t="n">
        <v>190</v>
      </c>
      <c r="E76" s="15">
        <f>IFERROR(IF($C76="","",INDEX(INSUMOS!$G$5:$G$84,MATCH($C76,INSUMOS!$B$5:$B$84,0))),"")</f>
        <v/>
      </c>
      <c r="F76" s="37">
        <f>IFERROR(IF($C76="","",INDEX(INSUMOS!$I$5:$I$84,MATCH($C76,INSUMOS!$B$5:$B$84,0))),"")</f>
        <v/>
      </c>
      <c r="G76" s="30">
        <f>IFERROR(IF($C76="","",$D76*$F76),"")</f>
        <v/>
      </c>
      <c r="H76" s="28" t="inlineStr"/>
      <c r="I76" s="38">
        <f>IF($B76="","",SUMIFS(VENTAS!$D$5:$D$504,VENTAS!$B$5:$B$504,INICIO!$C$8,VENTAS!$C$5:$C$504,$B76))</f>
        <v/>
      </c>
      <c r="J76" s="38">
        <f>IF($C76="","",$D76*$I76)</f>
        <v/>
      </c>
    </row>
    <row r="77">
      <c r="A77" s="29" t="n">
        <v>73</v>
      </c>
      <c r="B77" s="28" t="inlineStr">
        <is>
          <t>Frutos Rojos c/alcohol</t>
        </is>
      </c>
      <c r="C77" s="28" t="inlineStr">
        <is>
          <t>Energia maquina granizadora</t>
        </is>
      </c>
      <c r="D77" s="36" t="n">
        <v>1</v>
      </c>
      <c r="E77" s="15">
        <f>IFERROR(IF($C77="","",INDEX(INSUMOS!$G$5:$G$84,MATCH($C77,INSUMOS!$B$5:$B$84,0))),"")</f>
        <v/>
      </c>
      <c r="F77" s="37">
        <f>IFERROR(IF($C77="","",INDEX(INSUMOS!$I$5:$I$84,MATCH($C77,INSUMOS!$B$5:$B$84,0))),"")</f>
        <v/>
      </c>
      <c r="G77" s="30">
        <f>IFERROR(IF($C77="","",$D77*$F77),"")</f>
        <v/>
      </c>
      <c r="H77" s="28" t="inlineStr"/>
      <c r="I77" s="38">
        <f>IF($B77="","",SUMIFS(VENTAS!$D$5:$D$504,VENTAS!$B$5:$B$504,INICIO!$C$8,VENTAS!$C$5:$C$504,$B77))</f>
        <v/>
      </c>
      <c r="J77" s="38">
        <f>IF($C77="","",$D77*$I77)</f>
        <v/>
      </c>
    </row>
    <row r="78">
      <c r="A78" s="29" t="n">
        <v>74</v>
      </c>
      <c r="B78" s="28" t="inlineStr">
        <is>
          <t>Frutos Rojos c/alcohol</t>
        </is>
      </c>
      <c r="C78" s="28" t="inlineStr">
        <is>
          <t>Vaso 12 oz</t>
        </is>
      </c>
      <c r="D78" s="36" t="n">
        <v>1</v>
      </c>
      <c r="E78" s="15">
        <f>IFERROR(IF($C78="","",INDEX(INSUMOS!$G$5:$G$84,MATCH($C78,INSUMOS!$B$5:$B$84,0))),"")</f>
        <v/>
      </c>
      <c r="F78" s="37">
        <f>IFERROR(IF($C78="","",INDEX(INSUMOS!$I$5:$I$84,MATCH($C78,INSUMOS!$B$5:$B$84,0))),"")</f>
        <v/>
      </c>
      <c r="G78" s="30">
        <f>IFERROR(IF($C78="","",$D78*$F78),"")</f>
        <v/>
      </c>
      <c r="H78" s="28" t="inlineStr"/>
      <c r="I78" s="38">
        <f>IF($B78="","",SUMIFS(VENTAS!$D$5:$D$504,VENTAS!$B$5:$B$504,INICIO!$C$8,VENTAS!$C$5:$C$504,$B78))</f>
        <v/>
      </c>
      <c r="J78" s="38">
        <f>IF($C78="","",$D78*$I78)</f>
        <v/>
      </c>
    </row>
    <row r="79">
      <c r="A79" s="29" t="n">
        <v>75</v>
      </c>
      <c r="B79" s="28" t="inlineStr">
        <is>
          <t>Frutos Rojos c/alcohol</t>
        </is>
      </c>
      <c r="C79" s="28" t="inlineStr">
        <is>
          <t>Tapa domo 12 oz</t>
        </is>
      </c>
      <c r="D79" s="36" t="n">
        <v>1</v>
      </c>
      <c r="E79" s="15">
        <f>IFERROR(IF($C79="","",INDEX(INSUMOS!$G$5:$G$84,MATCH($C79,INSUMOS!$B$5:$B$84,0))),"")</f>
        <v/>
      </c>
      <c r="F79" s="37">
        <f>IFERROR(IF($C79="","",INDEX(INSUMOS!$I$5:$I$84,MATCH($C79,INSUMOS!$B$5:$B$84,0))),"")</f>
        <v/>
      </c>
      <c r="G79" s="30">
        <f>IFERROR(IF($C79="","",$D79*$F79),"")</f>
        <v/>
      </c>
      <c r="H79" s="28" t="inlineStr"/>
      <c r="I79" s="38">
        <f>IF($B79="","",SUMIFS(VENTAS!$D$5:$D$504,VENTAS!$B$5:$B$504,INICIO!$C$8,VENTAS!$C$5:$C$504,$B79))</f>
        <v/>
      </c>
      <c r="J79" s="38">
        <f>IF($C79="","",$D79*$I79)</f>
        <v/>
      </c>
    </row>
    <row r="80">
      <c r="A80" s="29" t="n">
        <v>76</v>
      </c>
      <c r="B80" s="28" t="inlineStr">
        <is>
          <t>Frutos Rojos c/alcohol</t>
        </is>
      </c>
      <c r="C80" s="28" t="inlineStr">
        <is>
          <t>Pitillo</t>
        </is>
      </c>
      <c r="D80" s="36" t="n">
        <v>1</v>
      </c>
      <c r="E80" s="15">
        <f>IFERROR(IF($C80="","",INDEX(INSUMOS!$G$5:$G$84,MATCH($C80,INSUMOS!$B$5:$B$84,0))),"")</f>
        <v/>
      </c>
      <c r="F80" s="37">
        <f>IFERROR(IF($C80="","",INDEX(INSUMOS!$I$5:$I$84,MATCH($C80,INSUMOS!$B$5:$B$84,0))),"")</f>
        <v/>
      </c>
      <c r="G80" s="30">
        <f>IFERROR(IF($C80="","",$D80*$F80),"")</f>
        <v/>
      </c>
      <c r="H80" s="28" t="inlineStr"/>
      <c r="I80" s="38">
        <f>IF($B80="","",SUMIFS(VENTAS!$D$5:$D$504,VENTAS!$B$5:$B$504,INICIO!$C$8,VENTAS!$C$5:$C$504,$B80))</f>
        <v/>
      </c>
      <c r="J80" s="38">
        <f>IF($C80="","",$D80*$I80)</f>
        <v/>
      </c>
    </row>
    <row r="81">
      <c r="A81" s="29" t="n">
        <v>77</v>
      </c>
      <c r="B81" s="28" t="inlineStr">
        <is>
          <t>Frutos Rojos c/alcohol</t>
        </is>
      </c>
      <c r="C81" s="28" t="inlineStr">
        <is>
          <t>Servilleta</t>
        </is>
      </c>
      <c r="D81" s="36" t="n">
        <v>1</v>
      </c>
      <c r="E81" s="15">
        <f>IFERROR(IF($C81="","",INDEX(INSUMOS!$G$5:$G$84,MATCH($C81,INSUMOS!$B$5:$B$84,0))),"")</f>
        <v/>
      </c>
      <c r="F81" s="37">
        <f>IFERROR(IF($C81="","",INDEX(INSUMOS!$I$5:$I$84,MATCH($C81,INSUMOS!$B$5:$B$84,0))),"")</f>
        <v/>
      </c>
      <c r="G81" s="30">
        <f>IFERROR(IF($C81="","",$D81*$F81),"")</f>
        <v/>
      </c>
      <c r="H81" s="28" t="inlineStr"/>
      <c r="I81" s="38">
        <f>IF($B81="","",SUMIFS(VENTAS!$D$5:$D$504,VENTAS!$B$5:$B$504,INICIO!$C$8,VENTAS!$C$5:$C$504,$B81))</f>
        <v/>
      </c>
      <c r="J81" s="38">
        <f>IF($C81="","",$D81*$I81)</f>
        <v/>
      </c>
    </row>
    <row r="82">
      <c r="A82" s="29" t="n">
        <v>78</v>
      </c>
      <c r="B82" s="28" t="inlineStr">
        <is>
          <t>Frutos Rojos c/alcohol</t>
        </is>
      </c>
      <c r="C82" s="28" t="inlineStr">
        <is>
          <t>Vodka / Aguardiente</t>
        </is>
      </c>
      <c r="D82" s="36" t="n">
        <v>30</v>
      </c>
      <c r="E82" s="15">
        <f>IFERROR(IF($C82="","",INDEX(INSUMOS!$G$5:$G$84,MATCH($C82,INSUMOS!$B$5:$B$84,0))),"")</f>
        <v/>
      </c>
      <c r="F82" s="37">
        <f>IFERROR(IF($C82="","",INDEX(INSUMOS!$I$5:$I$84,MATCH($C82,INSUMOS!$B$5:$B$84,0))),"")</f>
        <v/>
      </c>
      <c r="G82" s="30">
        <f>IFERROR(IF($C82="","",$D82*$F82),"")</f>
        <v/>
      </c>
      <c r="H82" s="28" t="inlineStr">
        <is>
          <t>Porcion estandar 30ml</t>
        </is>
      </c>
      <c r="I82" s="38">
        <f>IF($B82="","",SUMIFS(VENTAS!$D$5:$D$504,VENTAS!$B$5:$B$504,INICIO!$C$8,VENTAS!$C$5:$C$504,$B82))</f>
        <v/>
      </c>
      <c r="J82" s="38">
        <f>IF($C82="","",$D82*$I82)</f>
        <v/>
      </c>
    </row>
    <row r="83">
      <c r="A83" s="29" t="n">
        <v>79</v>
      </c>
      <c r="B83" s="28" t="inlineStr">
        <is>
          <t>Maracuya c/alcohol</t>
        </is>
      </c>
      <c r="C83" s="28" t="inlineStr">
        <is>
          <t>Jarabe Maracuya</t>
        </is>
      </c>
      <c r="D83" s="36" t="n">
        <v>63</v>
      </c>
      <c r="E83" s="15">
        <f>IFERROR(IF($C83="","",INDEX(INSUMOS!$G$5:$G$84,MATCH($C83,INSUMOS!$B$5:$B$84,0))),"")</f>
        <v/>
      </c>
      <c r="F83" s="37">
        <f>IFERROR(IF($C83="","",INDEX(INSUMOS!$I$5:$I$84,MATCH($C83,INSUMOS!$B$5:$B$84,0))),"")</f>
        <v/>
      </c>
      <c r="G83" s="30">
        <f>IFERROR(IF($C83="","",$D83*$F83),"")</f>
        <v/>
      </c>
      <c r="H83" s="28" t="inlineStr"/>
      <c r="I83" s="38">
        <f>IF($B83="","",SUMIFS(VENTAS!$D$5:$D$504,VENTAS!$B$5:$B$504,INICIO!$C$8,VENTAS!$C$5:$C$504,$B83))</f>
        <v/>
      </c>
      <c r="J83" s="38">
        <f>IF($C83="","",$D83*$I83)</f>
        <v/>
      </c>
    </row>
    <row r="84">
      <c r="A84" s="29" t="n">
        <v>80</v>
      </c>
      <c r="B84" s="28" t="inlineStr">
        <is>
          <t>Maracuya c/alcohol</t>
        </is>
      </c>
      <c r="C84" s="28" t="inlineStr">
        <is>
          <t>Agua purificada</t>
        </is>
      </c>
      <c r="D84" s="36" t="n">
        <v>190</v>
      </c>
      <c r="E84" s="15">
        <f>IFERROR(IF($C84="","",INDEX(INSUMOS!$G$5:$G$84,MATCH($C84,INSUMOS!$B$5:$B$84,0))),"")</f>
        <v/>
      </c>
      <c r="F84" s="37">
        <f>IFERROR(IF($C84="","",INDEX(INSUMOS!$I$5:$I$84,MATCH($C84,INSUMOS!$B$5:$B$84,0))),"")</f>
        <v/>
      </c>
      <c r="G84" s="30">
        <f>IFERROR(IF($C84="","",$D84*$F84),"")</f>
        <v/>
      </c>
      <c r="H84" s="28" t="inlineStr"/>
      <c r="I84" s="38">
        <f>IF($B84="","",SUMIFS(VENTAS!$D$5:$D$504,VENTAS!$B$5:$B$504,INICIO!$C$8,VENTAS!$C$5:$C$504,$B84))</f>
        <v/>
      </c>
      <c r="J84" s="38">
        <f>IF($C84="","",$D84*$I84)</f>
        <v/>
      </c>
    </row>
    <row r="85">
      <c r="A85" s="29" t="n">
        <v>81</v>
      </c>
      <c r="B85" s="28" t="inlineStr">
        <is>
          <t>Maracuya c/alcohol</t>
        </is>
      </c>
      <c r="C85" s="28" t="inlineStr">
        <is>
          <t>Energia maquina granizadora</t>
        </is>
      </c>
      <c r="D85" s="36" t="n">
        <v>1</v>
      </c>
      <c r="E85" s="15">
        <f>IFERROR(IF($C85="","",INDEX(INSUMOS!$G$5:$G$84,MATCH($C85,INSUMOS!$B$5:$B$84,0))),"")</f>
        <v/>
      </c>
      <c r="F85" s="37">
        <f>IFERROR(IF($C85="","",INDEX(INSUMOS!$I$5:$I$84,MATCH($C85,INSUMOS!$B$5:$B$84,0))),"")</f>
        <v/>
      </c>
      <c r="G85" s="30">
        <f>IFERROR(IF($C85="","",$D85*$F85),"")</f>
        <v/>
      </c>
      <c r="H85" s="28" t="inlineStr"/>
      <c r="I85" s="38">
        <f>IF($B85="","",SUMIFS(VENTAS!$D$5:$D$504,VENTAS!$B$5:$B$504,INICIO!$C$8,VENTAS!$C$5:$C$504,$B85))</f>
        <v/>
      </c>
      <c r="J85" s="38">
        <f>IF($C85="","",$D85*$I85)</f>
        <v/>
      </c>
    </row>
    <row r="86">
      <c r="A86" s="29" t="n">
        <v>82</v>
      </c>
      <c r="B86" s="28" t="inlineStr">
        <is>
          <t>Maracuya c/alcohol</t>
        </is>
      </c>
      <c r="C86" s="28" t="inlineStr">
        <is>
          <t>Vaso 12 oz</t>
        </is>
      </c>
      <c r="D86" s="36" t="n">
        <v>1</v>
      </c>
      <c r="E86" s="15">
        <f>IFERROR(IF($C86="","",INDEX(INSUMOS!$G$5:$G$84,MATCH($C86,INSUMOS!$B$5:$B$84,0))),"")</f>
        <v/>
      </c>
      <c r="F86" s="37">
        <f>IFERROR(IF($C86="","",INDEX(INSUMOS!$I$5:$I$84,MATCH($C86,INSUMOS!$B$5:$B$84,0))),"")</f>
        <v/>
      </c>
      <c r="G86" s="30">
        <f>IFERROR(IF($C86="","",$D86*$F86),"")</f>
        <v/>
      </c>
      <c r="H86" s="28" t="inlineStr"/>
      <c r="I86" s="38">
        <f>IF($B86="","",SUMIFS(VENTAS!$D$5:$D$504,VENTAS!$B$5:$B$504,INICIO!$C$8,VENTAS!$C$5:$C$504,$B86))</f>
        <v/>
      </c>
      <c r="J86" s="38">
        <f>IF($C86="","",$D86*$I86)</f>
        <v/>
      </c>
    </row>
    <row r="87">
      <c r="A87" s="29" t="n">
        <v>83</v>
      </c>
      <c r="B87" s="28" t="inlineStr">
        <is>
          <t>Maracuya c/alcohol</t>
        </is>
      </c>
      <c r="C87" s="28" t="inlineStr">
        <is>
          <t>Tapa domo 12 oz</t>
        </is>
      </c>
      <c r="D87" s="36" t="n">
        <v>1</v>
      </c>
      <c r="E87" s="15">
        <f>IFERROR(IF($C87="","",INDEX(INSUMOS!$G$5:$G$84,MATCH($C87,INSUMOS!$B$5:$B$84,0))),"")</f>
        <v/>
      </c>
      <c r="F87" s="37">
        <f>IFERROR(IF($C87="","",INDEX(INSUMOS!$I$5:$I$84,MATCH($C87,INSUMOS!$B$5:$B$84,0))),"")</f>
        <v/>
      </c>
      <c r="G87" s="30">
        <f>IFERROR(IF($C87="","",$D87*$F87),"")</f>
        <v/>
      </c>
      <c r="H87" s="28" t="inlineStr"/>
      <c r="I87" s="38">
        <f>IF($B87="","",SUMIFS(VENTAS!$D$5:$D$504,VENTAS!$B$5:$B$504,INICIO!$C$8,VENTAS!$C$5:$C$504,$B87))</f>
        <v/>
      </c>
      <c r="J87" s="38">
        <f>IF($C87="","",$D87*$I87)</f>
        <v/>
      </c>
    </row>
    <row r="88">
      <c r="A88" s="29" t="n">
        <v>84</v>
      </c>
      <c r="B88" s="28" t="inlineStr">
        <is>
          <t>Maracuya c/alcohol</t>
        </is>
      </c>
      <c r="C88" s="28" t="inlineStr">
        <is>
          <t>Pitillo</t>
        </is>
      </c>
      <c r="D88" s="36" t="n">
        <v>1</v>
      </c>
      <c r="E88" s="15">
        <f>IFERROR(IF($C88="","",INDEX(INSUMOS!$G$5:$G$84,MATCH($C88,INSUMOS!$B$5:$B$84,0))),"")</f>
        <v/>
      </c>
      <c r="F88" s="37">
        <f>IFERROR(IF($C88="","",INDEX(INSUMOS!$I$5:$I$84,MATCH($C88,INSUMOS!$B$5:$B$84,0))),"")</f>
        <v/>
      </c>
      <c r="G88" s="30">
        <f>IFERROR(IF($C88="","",$D88*$F88),"")</f>
        <v/>
      </c>
      <c r="H88" s="28" t="inlineStr"/>
      <c r="I88" s="38">
        <f>IF($B88="","",SUMIFS(VENTAS!$D$5:$D$504,VENTAS!$B$5:$B$504,INICIO!$C$8,VENTAS!$C$5:$C$504,$B88))</f>
        <v/>
      </c>
      <c r="J88" s="38">
        <f>IF($C88="","",$D88*$I88)</f>
        <v/>
      </c>
    </row>
    <row r="89">
      <c r="A89" s="29" t="n">
        <v>85</v>
      </c>
      <c r="B89" s="28" t="inlineStr">
        <is>
          <t>Maracuya c/alcohol</t>
        </is>
      </c>
      <c r="C89" s="28" t="inlineStr">
        <is>
          <t>Servilleta</t>
        </is>
      </c>
      <c r="D89" s="36" t="n">
        <v>1</v>
      </c>
      <c r="E89" s="15">
        <f>IFERROR(IF($C89="","",INDEX(INSUMOS!$G$5:$G$84,MATCH($C89,INSUMOS!$B$5:$B$84,0))),"")</f>
        <v/>
      </c>
      <c r="F89" s="37">
        <f>IFERROR(IF($C89="","",INDEX(INSUMOS!$I$5:$I$84,MATCH($C89,INSUMOS!$B$5:$B$84,0))),"")</f>
        <v/>
      </c>
      <c r="G89" s="30">
        <f>IFERROR(IF($C89="","",$D89*$F89),"")</f>
        <v/>
      </c>
      <c r="H89" s="28" t="inlineStr"/>
      <c r="I89" s="38">
        <f>IF($B89="","",SUMIFS(VENTAS!$D$5:$D$504,VENTAS!$B$5:$B$504,INICIO!$C$8,VENTAS!$C$5:$C$504,$B89))</f>
        <v/>
      </c>
      <c r="J89" s="38">
        <f>IF($C89="","",$D89*$I89)</f>
        <v/>
      </c>
    </row>
    <row r="90">
      <c r="A90" s="29" t="n">
        <v>86</v>
      </c>
      <c r="B90" s="28" t="inlineStr">
        <is>
          <t>Maracuya c/alcohol</t>
        </is>
      </c>
      <c r="C90" s="28" t="inlineStr">
        <is>
          <t>Vodka / Aguardiente</t>
        </is>
      </c>
      <c r="D90" s="36" t="n">
        <v>30</v>
      </c>
      <c r="E90" s="15">
        <f>IFERROR(IF($C90="","",INDEX(INSUMOS!$G$5:$G$84,MATCH($C90,INSUMOS!$B$5:$B$84,0))),"")</f>
        <v/>
      </c>
      <c r="F90" s="37">
        <f>IFERROR(IF($C90="","",INDEX(INSUMOS!$I$5:$I$84,MATCH($C90,INSUMOS!$B$5:$B$84,0))),"")</f>
        <v/>
      </c>
      <c r="G90" s="30">
        <f>IFERROR(IF($C90="","",$D90*$F90),"")</f>
        <v/>
      </c>
      <c r="H90" s="28" t="inlineStr">
        <is>
          <t>Porcion estandar 30ml</t>
        </is>
      </c>
      <c r="I90" s="38">
        <f>IF($B90="","",SUMIFS(VENTAS!$D$5:$D$504,VENTAS!$B$5:$B$504,INICIO!$C$8,VENTAS!$C$5:$C$504,$B90))</f>
        <v/>
      </c>
      <c r="J90" s="38">
        <f>IF($C90="","",$D90*$I90)</f>
        <v/>
      </c>
    </row>
    <row r="91">
      <c r="A91" s="29" t="n">
        <v>87</v>
      </c>
      <c r="B91" s="28" t="inlineStr">
        <is>
          <t>Naranja c/alcohol</t>
        </is>
      </c>
      <c r="C91" s="28" t="inlineStr">
        <is>
          <t>Jarabe Naranja</t>
        </is>
      </c>
      <c r="D91" s="36" t="n">
        <v>63</v>
      </c>
      <c r="E91" s="15">
        <f>IFERROR(IF($C91="","",INDEX(INSUMOS!$G$5:$G$84,MATCH($C91,INSUMOS!$B$5:$B$84,0))),"")</f>
        <v/>
      </c>
      <c r="F91" s="37">
        <f>IFERROR(IF($C91="","",INDEX(INSUMOS!$I$5:$I$84,MATCH($C91,INSUMOS!$B$5:$B$84,0))),"")</f>
        <v/>
      </c>
      <c r="G91" s="30">
        <f>IFERROR(IF($C91="","",$D91*$F91),"")</f>
        <v/>
      </c>
      <c r="H91" s="28" t="inlineStr"/>
      <c r="I91" s="38">
        <f>IF($B91="","",SUMIFS(VENTAS!$D$5:$D$504,VENTAS!$B$5:$B$504,INICIO!$C$8,VENTAS!$C$5:$C$504,$B91))</f>
        <v/>
      </c>
      <c r="J91" s="38">
        <f>IF($C91="","",$D91*$I91)</f>
        <v/>
      </c>
    </row>
    <row r="92">
      <c r="A92" s="29" t="n">
        <v>88</v>
      </c>
      <c r="B92" s="28" t="inlineStr">
        <is>
          <t>Naranja c/alcohol</t>
        </is>
      </c>
      <c r="C92" s="28" t="inlineStr">
        <is>
          <t>Agua purificada</t>
        </is>
      </c>
      <c r="D92" s="36" t="n">
        <v>190</v>
      </c>
      <c r="E92" s="15">
        <f>IFERROR(IF($C92="","",INDEX(INSUMOS!$G$5:$G$84,MATCH($C92,INSUMOS!$B$5:$B$84,0))),"")</f>
        <v/>
      </c>
      <c r="F92" s="37">
        <f>IFERROR(IF($C92="","",INDEX(INSUMOS!$I$5:$I$84,MATCH($C92,INSUMOS!$B$5:$B$84,0))),"")</f>
        <v/>
      </c>
      <c r="G92" s="30">
        <f>IFERROR(IF($C92="","",$D92*$F92),"")</f>
        <v/>
      </c>
      <c r="H92" s="28" t="inlineStr"/>
      <c r="I92" s="38">
        <f>IF($B92="","",SUMIFS(VENTAS!$D$5:$D$504,VENTAS!$B$5:$B$504,INICIO!$C$8,VENTAS!$C$5:$C$504,$B92))</f>
        <v/>
      </c>
      <c r="J92" s="38">
        <f>IF($C92="","",$D92*$I92)</f>
        <v/>
      </c>
    </row>
    <row r="93">
      <c r="A93" s="29" t="n">
        <v>89</v>
      </c>
      <c r="B93" s="28" t="inlineStr">
        <is>
          <t>Naranja c/alcohol</t>
        </is>
      </c>
      <c r="C93" s="28" t="inlineStr">
        <is>
          <t>Energia maquina granizadora</t>
        </is>
      </c>
      <c r="D93" s="36" t="n">
        <v>1</v>
      </c>
      <c r="E93" s="15">
        <f>IFERROR(IF($C93="","",INDEX(INSUMOS!$G$5:$G$84,MATCH($C93,INSUMOS!$B$5:$B$84,0))),"")</f>
        <v/>
      </c>
      <c r="F93" s="37">
        <f>IFERROR(IF($C93="","",INDEX(INSUMOS!$I$5:$I$84,MATCH($C93,INSUMOS!$B$5:$B$84,0))),"")</f>
        <v/>
      </c>
      <c r="G93" s="30">
        <f>IFERROR(IF($C93="","",$D93*$F93),"")</f>
        <v/>
      </c>
      <c r="H93" s="28" t="inlineStr"/>
      <c r="I93" s="38">
        <f>IF($B93="","",SUMIFS(VENTAS!$D$5:$D$504,VENTAS!$B$5:$B$504,INICIO!$C$8,VENTAS!$C$5:$C$504,$B93))</f>
        <v/>
      </c>
      <c r="J93" s="38">
        <f>IF($C93="","",$D93*$I93)</f>
        <v/>
      </c>
    </row>
    <row r="94">
      <c r="A94" s="29" t="n">
        <v>90</v>
      </c>
      <c r="B94" s="28" t="inlineStr">
        <is>
          <t>Naranja c/alcohol</t>
        </is>
      </c>
      <c r="C94" s="28" t="inlineStr">
        <is>
          <t>Vaso 12 oz</t>
        </is>
      </c>
      <c r="D94" s="36" t="n">
        <v>1</v>
      </c>
      <c r="E94" s="15">
        <f>IFERROR(IF($C94="","",INDEX(INSUMOS!$G$5:$G$84,MATCH($C94,INSUMOS!$B$5:$B$84,0))),"")</f>
        <v/>
      </c>
      <c r="F94" s="37">
        <f>IFERROR(IF($C94="","",INDEX(INSUMOS!$I$5:$I$84,MATCH($C94,INSUMOS!$B$5:$B$84,0))),"")</f>
        <v/>
      </c>
      <c r="G94" s="30">
        <f>IFERROR(IF($C94="","",$D94*$F94),"")</f>
        <v/>
      </c>
      <c r="H94" s="28" t="inlineStr"/>
      <c r="I94" s="38">
        <f>IF($B94="","",SUMIFS(VENTAS!$D$5:$D$504,VENTAS!$B$5:$B$504,INICIO!$C$8,VENTAS!$C$5:$C$504,$B94))</f>
        <v/>
      </c>
      <c r="J94" s="38">
        <f>IF($C94="","",$D94*$I94)</f>
        <v/>
      </c>
    </row>
    <row r="95">
      <c r="A95" s="29" t="n">
        <v>91</v>
      </c>
      <c r="B95" s="28" t="inlineStr">
        <is>
          <t>Naranja c/alcohol</t>
        </is>
      </c>
      <c r="C95" s="28" t="inlineStr">
        <is>
          <t>Tapa domo 12 oz</t>
        </is>
      </c>
      <c r="D95" s="36" t="n">
        <v>1</v>
      </c>
      <c r="E95" s="15">
        <f>IFERROR(IF($C95="","",INDEX(INSUMOS!$G$5:$G$84,MATCH($C95,INSUMOS!$B$5:$B$84,0))),"")</f>
        <v/>
      </c>
      <c r="F95" s="37">
        <f>IFERROR(IF($C95="","",INDEX(INSUMOS!$I$5:$I$84,MATCH($C95,INSUMOS!$B$5:$B$84,0))),"")</f>
        <v/>
      </c>
      <c r="G95" s="30">
        <f>IFERROR(IF($C95="","",$D95*$F95),"")</f>
        <v/>
      </c>
      <c r="H95" s="28" t="inlineStr"/>
      <c r="I95" s="38">
        <f>IF($B95="","",SUMIFS(VENTAS!$D$5:$D$504,VENTAS!$B$5:$B$504,INICIO!$C$8,VENTAS!$C$5:$C$504,$B95))</f>
        <v/>
      </c>
      <c r="J95" s="38">
        <f>IF($C95="","",$D95*$I95)</f>
        <v/>
      </c>
    </row>
    <row r="96">
      <c r="A96" s="29" t="n">
        <v>92</v>
      </c>
      <c r="B96" s="28" t="inlineStr">
        <is>
          <t>Naranja c/alcohol</t>
        </is>
      </c>
      <c r="C96" s="28" t="inlineStr">
        <is>
          <t>Pitillo</t>
        </is>
      </c>
      <c r="D96" s="36" t="n">
        <v>1</v>
      </c>
      <c r="E96" s="15">
        <f>IFERROR(IF($C96="","",INDEX(INSUMOS!$G$5:$G$84,MATCH($C96,INSUMOS!$B$5:$B$84,0))),"")</f>
        <v/>
      </c>
      <c r="F96" s="37">
        <f>IFERROR(IF($C96="","",INDEX(INSUMOS!$I$5:$I$84,MATCH($C96,INSUMOS!$B$5:$B$84,0))),"")</f>
        <v/>
      </c>
      <c r="G96" s="30">
        <f>IFERROR(IF($C96="","",$D96*$F96),"")</f>
        <v/>
      </c>
      <c r="H96" s="28" t="inlineStr"/>
      <c r="I96" s="38">
        <f>IF($B96="","",SUMIFS(VENTAS!$D$5:$D$504,VENTAS!$B$5:$B$504,INICIO!$C$8,VENTAS!$C$5:$C$504,$B96))</f>
        <v/>
      </c>
      <c r="J96" s="38">
        <f>IF($C96="","",$D96*$I96)</f>
        <v/>
      </c>
    </row>
    <row r="97">
      <c r="A97" s="29" t="n">
        <v>93</v>
      </c>
      <c r="B97" s="28" t="inlineStr">
        <is>
          <t>Naranja c/alcohol</t>
        </is>
      </c>
      <c r="C97" s="28" t="inlineStr">
        <is>
          <t>Servilleta</t>
        </is>
      </c>
      <c r="D97" s="36" t="n">
        <v>1</v>
      </c>
      <c r="E97" s="15">
        <f>IFERROR(IF($C97="","",INDEX(INSUMOS!$G$5:$G$84,MATCH($C97,INSUMOS!$B$5:$B$84,0))),"")</f>
        <v/>
      </c>
      <c r="F97" s="37">
        <f>IFERROR(IF($C97="","",INDEX(INSUMOS!$I$5:$I$84,MATCH($C97,INSUMOS!$B$5:$B$84,0))),"")</f>
        <v/>
      </c>
      <c r="G97" s="30">
        <f>IFERROR(IF($C97="","",$D97*$F97),"")</f>
        <v/>
      </c>
      <c r="H97" s="28" t="inlineStr"/>
      <c r="I97" s="38">
        <f>IF($B97="","",SUMIFS(VENTAS!$D$5:$D$504,VENTAS!$B$5:$B$504,INICIO!$C$8,VENTAS!$C$5:$C$504,$B97))</f>
        <v/>
      </c>
      <c r="J97" s="38">
        <f>IF($C97="","",$D97*$I97)</f>
        <v/>
      </c>
    </row>
    <row r="98">
      <c r="A98" s="29" t="n">
        <v>94</v>
      </c>
      <c r="B98" s="28" t="inlineStr">
        <is>
          <t>Naranja c/alcohol</t>
        </is>
      </c>
      <c r="C98" s="28" t="inlineStr">
        <is>
          <t>Vodka / Aguardiente</t>
        </is>
      </c>
      <c r="D98" s="36" t="n">
        <v>30</v>
      </c>
      <c r="E98" s="15">
        <f>IFERROR(IF($C98="","",INDEX(INSUMOS!$G$5:$G$84,MATCH($C98,INSUMOS!$B$5:$B$84,0))),"")</f>
        <v/>
      </c>
      <c r="F98" s="37">
        <f>IFERROR(IF($C98="","",INDEX(INSUMOS!$I$5:$I$84,MATCH($C98,INSUMOS!$B$5:$B$84,0))),"")</f>
        <v/>
      </c>
      <c r="G98" s="30">
        <f>IFERROR(IF($C98="","",$D98*$F98),"")</f>
        <v/>
      </c>
      <c r="H98" s="28" t="inlineStr">
        <is>
          <t>Porcion estandar 30ml</t>
        </is>
      </c>
      <c r="I98" s="38">
        <f>IF($B98="","",SUMIFS(VENTAS!$D$5:$D$504,VENTAS!$B$5:$B$504,INICIO!$C$8,VENTAS!$C$5:$C$504,$B98))</f>
        <v/>
      </c>
      <c r="J98" s="38">
        <f>IF($C98="","",$D98*$I98)</f>
        <v/>
      </c>
    </row>
    <row r="99">
      <c r="A99" s="29" t="n">
        <v>95</v>
      </c>
      <c r="B99" s="28" t="inlineStr">
        <is>
          <t>Oreo c/alcohol</t>
        </is>
      </c>
      <c r="C99" s="28" t="inlineStr">
        <is>
          <t>Galleta Oreo</t>
        </is>
      </c>
      <c r="D99" s="36" t="n">
        <v>4</v>
      </c>
      <c r="E99" s="15">
        <f>IFERROR(IF($C99="","",INDEX(INSUMOS!$G$5:$G$84,MATCH($C99,INSUMOS!$B$5:$B$84,0))),"")</f>
        <v/>
      </c>
      <c r="F99" s="37">
        <f>IFERROR(IF($C99="","",INDEX(INSUMOS!$I$5:$I$84,MATCH($C99,INSUMOS!$B$5:$B$84,0))),"")</f>
        <v/>
      </c>
      <c r="G99" s="30">
        <f>IFERROR(IF($C99="","",$D99*$F99),"")</f>
        <v/>
      </c>
      <c r="H99" s="28" t="inlineStr">
        <is>
          <t>3 licuadas + 1 para decorar</t>
        </is>
      </c>
      <c r="I99" s="38">
        <f>IF($B99="","",SUMIFS(VENTAS!$D$5:$D$504,VENTAS!$B$5:$B$504,INICIO!$C$8,VENTAS!$C$5:$C$504,$B99))</f>
        <v/>
      </c>
      <c r="J99" s="38">
        <f>IF($C99="","",$D99*$I99)</f>
        <v/>
      </c>
    </row>
    <row r="100">
      <c r="A100" s="29" t="n">
        <v>96</v>
      </c>
      <c r="B100" s="28" t="inlineStr">
        <is>
          <t>Oreo c/alcohol</t>
        </is>
      </c>
      <c r="C100" s="28" t="inlineStr">
        <is>
          <t>Leche entera</t>
        </is>
      </c>
      <c r="D100" s="36" t="n">
        <v>100</v>
      </c>
      <c r="E100" s="15">
        <f>IFERROR(IF($C100="","",INDEX(INSUMOS!$G$5:$G$84,MATCH($C100,INSUMOS!$B$5:$B$84,0))),"")</f>
        <v/>
      </c>
      <c r="F100" s="37">
        <f>IFERROR(IF($C100="","",INDEX(INSUMOS!$I$5:$I$84,MATCH($C100,INSUMOS!$B$5:$B$84,0))),"")</f>
        <v/>
      </c>
      <c r="G100" s="30">
        <f>IFERROR(IF($C100="","",$D100*$F100),"")</f>
        <v/>
      </c>
      <c r="H100" s="28" t="inlineStr"/>
      <c r="I100" s="38">
        <f>IF($B100="","",SUMIFS(VENTAS!$D$5:$D$504,VENTAS!$B$5:$B$504,INICIO!$C$8,VENTAS!$C$5:$C$504,$B100))</f>
        <v/>
      </c>
      <c r="J100" s="38">
        <f>IF($C100="","",$D100*$I100)</f>
        <v/>
      </c>
    </row>
    <row r="101">
      <c r="A101" s="29" t="n">
        <v>97</v>
      </c>
      <c r="B101" s="28" t="inlineStr">
        <is>
          <t>Oreo c/alcohol</t>
        </is>
      </c>
      <c r="C101" s="28" t="inlineStr">
        <is>
          <t>Hielo en cubos</t>
        </is>
      </c>
      <c r="D101" s="36" t="n">
        <v>150</v>
      </c>
      <c r="E101" s="15">
        <f>IFERROR(IF($C101="","",INDEX(INSUMOS!$G$5:$G$84,MATCH($C101,INSUMOS!$B$5:$B$84,0))),"")</f>
        <v/>
      </c>
      <c r="F101" s="37">
        <f>IFERROR(IF($C101="","",INDEX(INSUMOS!$I$5:$I$84,MATCH($C101,INSUMOS!$B$5:$B$84,0))),"")</f>
        <v/>
      </c>
      <c r="G101" s="30">
        <f>IFERROR(IF($C101="","",$D101*$F101),"")</f>
        <v/>
      </c>
      <c r="H101" s="28" t="inlineStr">
        <is>
          <t>~10 cubos</t>
        </is>
      </c>
      <c r="I101" s="38">
        <f>IF($B101="","",SUMIFS(VENTAS!$D$5:$D$504,VENTAS!$B$5:$B$504,INICIO!$C$8,VENTAS!$C$5:$C$504,$B101))</f>
        <v/>
      </c>
      <c r="J101" s="38">
        <f>IF($C101="","",$D101*$I101)</f>
        <v/>
      </c>
    </row>
    <row r="102">
      <c r="A102" s="29" t="n">
        <v>98</v>
      </c>
      <c r="B102" s="28" t="inlineStr">
        <is>
          <t>Oreo c/alcohol</t>
        </is>
      </c>
      <c r="C102" s="28" t="inlineStr">
        <is>
          <t>Crema de leche</t>
        </is>
      </c>
      <c r="D102" s="36" t="n">
        <v>20</v>
      </c>
      <c r="E102" s="15">
        <f>IFERROR(IF($C102="","",INDEX(INSUMOS!$G$5:$G$84,MATCH($C102,INSUMOS!$B$5:$B$84,0))),"")</f>
        <v/>
      </c>
      <c r="F102" s="37">
        <f>IFERROR(IF($C102="","",INDEX(INSUMOS!$I$5:$I$84,MATCH($C102,INSUMOS!$B$5:$B$84,0))),"")</f>
        <v/>
      </c>
      <c r="G102" s="30">
        <f>IFERROR(IF($C102="","",$D102*$F102),"")</f>
        <v/>
      </c>
      <c r="H102" s="28" t="inlineStr">
        <is>
          <t>opcional</t>
        </is>
      </c>
      <c r="I102" s="38">
        <f>IF($B102="","",SUMIFS(VENTAS!$D$5:$D$504,VENTAS!$B$5:$B$504,INICIO!$C$8,VENTAS!$C$5:$C$504,$B102))</f>
        <v/>
      </c>
      <c r="J102" s="38">
        <f>IF($C102="","",$D102*$I102)</f>
        <v/>
      </c>
    </row>
    <row r="103">
      <c r="A103" s="29" t="n">
        <v>99</v>
      </c>
      <c r="B103" s="28" t="inlineStr">
        <is>
          <t>Oreo c/alcohol</t>
        </is>
      </c>
      <c r="C103" s="28" t="inlineStr">
        <is>
          <t>Vaso 12 oz</t>
        </is>
      </c>
      <c r="D103" s="36" t="n">
        <v>1</v>
      </c>
      <c r="E103" s="15">
        <f>IFERROR(IF($C103="","",INDEX(INSUMOS!$G$5:$G$84,MATCH($C103,INSUMOS!$B$5:$B$84,0))),"")</f>
        <v/>
      </c>
      <c r="F103" s="37">
        <f>IFERROR(IF($C103="","",INDEX(INSUMOS!$I$5:$I$84,MATCH($C103,INSUMOS!$B$5:$B$84,0))),"")</f>
        <v/>
      </c>
      <c r="G103" s="30">
        <f>IFERROR(IF($C103="","",$D103*$F103),"")</f>
        <v/>
      </c>
      <c r="H103" s="28" t="inlineStr"/>
      <c r="I103" s="38">
        <f>IF($B103="","",SUMIFS(VENTAS!$D$5:$D$504,VENTAS!$B$5:$B$504,INICIO!$C$8,VENTAS!$C$5:$C$504,$B103))</f>
        <v/>
      </c>
      <c r="J103" s="38">
        <f>IF($C103="","",$D103*$I103)</f>
        <v/>
      </c>
    </row>
    <row r="104">
      <c r="A104" s="29" t="n">
        <v>100</v>
      </c>
      <c r="B104" s="28" t="inlineStr">
        <is>
          <t>Oreo c/alcohol</t>
        </is>
      </c>
      <c r="C104" s="28" t="inlineStr">
        <is>
          <t>Tapa domo 12 oz</t>
        </is>
      </c>
      <c r="D104" s="36" t="n">
        <v>1</v>
      </c>
      <c r="E104" s="15">
        <f>IFERROR(IF($C104="","",INDEX(INSUMOS!$G$5:$G$84,MATCH($C104,INSUMOS!$B$5:$B$84,0))),"")</f>
        <v/>
      </c>
      <c r="F104" s="37">
        <f>IFERROR(IF($C104="","",INDEX(INSUMOS!$I$5:$I$84,MATCH($C104,INSUMOS!$B$5:$B$84,0))),"")</f>
        <v/>
      </c>
      <c r="G104" s="30">
        <f>IFERROR(IF($C104="","",$D104*$F104),"")</f>
        <v/>
      </c>
      <c r="H104" s="28" t="inlineStr"/>
      <c r="I104" s="38">
        <f>IF($B104="","",SUMIFS(VENTAS!$D$5:$D$504,VENTAS!$B$5:$B$504,INICIO!$C$8,VENTAS!$C$5:$C$504,$B104))</f>
        <v/>
      </c>
      <c r="J104" s="38">
        <f>IF($C104="","",$D104*$I104)</f>
        <v/>
      </c>
    </row>
    <row r="105">
      <c r="A105" s="29" t="n">
        <v>101</v>
      </c>
      <c r="B105" s="28" t="inlineStr">
        <is>
          <t>Oreo c/alcohol</t>
        </is>
      </c>
      <c r="C105" s="28" t="inlineStr">
        <is>
          <t>Pitillo</t>
        </is>
      </c>
      <c r="D105" s="36" t="n">
        <v>1</v>
      </c>
      <c r="E105" s="15">
        <f>IFERROR(IF($C105="","",INDEX(INSUMOS!$G$5:$G$84,MATCH($C105,INSUMOS!$B$5:$B$84,0))),"")</f>
        <v/>
      </c>
      <c r="F105" s="37">
        <f>IFERROR(IF($C105="","",INDEX(INSUMOS!$I$5:$I$84,MATCH($C105,INSUMOS!$B$5:$B$84,0))),"")</f>
        <v/>
      </c>
      <c r="G105" s="30">
        <f>IFERROR(IF($C105="","",$D105*$F105),"")</f>
        <v/>
      </c>
      <c r="H105" s="28" t="inlineStr"/>
      <c r="I105" s="38">
        <f>IF($B105="","",SUMIFS(VENTAS!$D$5:$D$504,VENTAS!$B$5:$B$504,INICIO!$C$8,VENTAS!$C$5:$C$504,$B105))</f>
        <v/>
      </c>
      <c r="J105" s="38">
        <f>IF($C105="","",$D105*$I105)</f>
        <v/>
      </c>
    </row>
    <row r="106">
      <c r="A106" s="29" t="n">
        <v>102</v>
      </c>
      <c r="B106" s="28" t="inlineStr">
        <is>
          <t>Oreo c/alcohol</t>
        </is>
      </c>
      <c r="C106" s="28" t="inlineStr">
        <is>
          <t>Servilleta</t>
        </is>
      </c>
      <c r="D106" s="36" t="n">
        <v>1</v>
      </c>
      <c r="E106" s="15">
        <f>IFERROR(IF($C106="","",INDEX(INSUMOS!$G$5:$G$84,MATCH($C106,INSUMOS!$B$5:$B$84,0))),"")</f>
        <v/>
      </c>
      <c r="F106" s="37">
        <f>IFERROR(IF($C106="","",INDEX(INSUMOS!$I$5:$I$84,MATCH($C106,INSUMOS!$B$5:$B$84,0))),"")</f>
        <v/>
      </c>
      <c r="G106" s="30">
        <f>IFERROR(IF($C106="","",$D106*$F106),"")</f>
        <v/>
      </c>
      <c r="H106" s="28" t="inlineStr"/>
      <c r="I106" s="38">
        <f>IF($B106="","",SUMIFS(VENTAS!$D$5:$D$504,VENTAS!$B$5:$B$504,INICIO!$C$8,VENTAS!$C$5:$C$504,$B106))</f>
        <v/>
      </c>
      <c r="J106" s="38">
        <f>IF($C106="","",$D106*$I106)</f>
        <v/>
      </c>
    </row>
    <row r="107">
      <c r="A107" s="29" t="n">
        <v>103</v>
      </c>
      <c r="B107" s="28" t="inlineStr">
        <is>
          <t>Oreo c/alcohol</t>
        </is>
      </c>
      <c r="C107" s="28" t="inlineStr">
        <is>
          <t>Vodka / Aguardiente</t>
        </is>
      </c>
      <c r="D107" s="36" t="n">
        <v>30</v>
      </c>
      <c r="E107" s="15">
        <f>IFERROR(IF($C107="","",INDEX(INSUMOS!$G$5:$G$84,MATCH($C107,INSUMOS!$B$5:$B$84,0))),"")</f>
        <v/>
      </c>
      <c r="F107" s="37">
        <f>IFERROR(IF($C107="","",INDEX(INSUMOS!$I$5:$I$84,MATCH($C107,INSUMOS!$B$5:$B$84,0))),"")</f>
        <v/>
      </c>
      <c r="G107" s="30">
        <f>IFERROR(IF($C107="","",$D107*$F107),"")</f>
        <v/>
      </c>
      <c r="H107" s="28" t="inlineStr">
        <is>
          <t>Porcion estandar 30ml</t>
        </is>
      </c>
      <c r="I107" s="38">
        <f>IF($B107="","",SUMIFS(VENTAS!$D$5:$D$504,VENTAS!$B$5:$B$504,INICIO!$C$8,VENTAS!$C$5:$C$504,$B107))</f>
        <v/>
      </c>
      <c r="J107" s="38">
        <f>IF($C107="","",$D107*$I107)</f>
        <v/>
      </c>
    </row>
    <row r="108">
      <c r="A108" s="29" t="n">
        <v>104</v>
      </c>
      <c r="B108" s="28" t="inlineStr">
        <is>
          <t>Nutella c/alcohol</t>
        </is>
      </c>
      <c r="C108" s="28" t="inlineStr">
        <is>
          <t>Nutella</t>
        </is>
      </c>
      <c r="D108" s="36" t="n">
        <v>30</v>
      </c>
      <c r="E108" s="15">
        <f>IFERROR(IF($C108="","",INDEX(INSUMOS!$G$5:$G$84,MATCH($C108,INSUMOS!$B$5:$B$84,0))),"")</f>
        <v/>
      </c>
      <c r="F108" s="37">
        <f>IFERROR(IF($C108="","",INDEX(INSUMOS!$I$5:$I$84,MATCH($C108,INSUMOS!$B$5:$B$84,0))),"")</f>
        <v/>
      </c>
      <c r="G108" s="30">
        <f>IFERROR(IF($C108="","",$D108*$F108),"")</f>
        <v/>
      </c>
      <c r="H108" s="28" t="inlineStr">
        <is>
          <t>2 cucharadas soperas</t>
        </is>
      </c>
      <c r="I108" s="38">
        <f>IF($B108="","",SUMIFS(VENTAS!$D$5:$D$504,VENTAS!$B$5:$B$504,INICIO!$C$8,VENTAS!$C$5:$C$504,$B108))</f>
        <v/>
      </c>
      <c r="J108" s="38">
        <f>IF($C108="","",$D108*$I108)</f>
        <v/>
      </c>
    </row>
    <row r="109">
      <c r="A109" s="29" t="n">
        <v>105</v>
      </c>
      <c r="B109" s="28" t="inlineStr">
        <is>
          <t>Nutella c/alcohol</t>
        </is>
      </c>
      <c r="C109" s="28" t="inlineStr">
        <is>
          <t>Leche entera</t>
        </is>
      </c>
      <c r="D109" s="36" t="n">
        <v>120</v>
      </c>
      <c r="E109" s="15">
        <f>IFERROR(IF($C109="","",INDEX(INSUMOS!$G$5:$G$84,MATCH($C109,INSUMOS!$B$5:$B$84,0))),"")</f>
        <v/>
      </c>
      <c r="F109" s="37">
        <f>IFERROR(IF($C109="","",INDEX(INSUMOS!$I$5:$I$84,MATCH($C109,INSUMOS!$B$5:$B$84,0))),"")</f>
        <v/>
      </c>
      <c r="G109" s="30">
        <f>IFERROR(IF($C109="","",$D109*$F109),"")</f>
        <v/>
      </c>
      <c r="H109" s="28" t="inlineStr"/>
      <c r="I109" s="38">
        <f>IF($B109="","",SUMIFS(VENTAS!$D$5:$D$504,VENTAS!$B$5:$B$504,INICIO!$C$8,VENTAS!$C$5:$C$504,$B109))</f>
        <v/>
      </c>
      <c r="J109" s="38">
        <f>IF($C109="","",$D109*$I109)</f>
        <v/>
      </c>
    </row>
    <row r="110">
      <c r="A110" s="29" t="n">
        <v>106</v>
      </c>
      <c r="B110" s="28" t="inlineStr">
        <is>
          <t>Nutella c/alcohol</t>
        </is>
      </c>
      <c r="C110" s="28" t="inlineStr">
        <is>
          <t>Hielo en cubos</t>
        </is>
      </c>
      <c r="D110" s="36" t="n">
        <v>150</v>
      </c>
      <c r="E110" s="15">
        <f>IFERROR(IF($C110="","",INDEX(INSUMOS!$G$5:$G$84,MATCH($C110,INSUMOS!$B$5:$B$84,0))),"")</f>
        <v/>
      </c>
      <c r="F110" s="37">
        <f>IFERROR(IF($C110="","",INDEX(INSUMOS!$I$5:$I$84,MATCH($C110,INSUMOS!$B$5:$B$84,0))),"")</f>
        <v/>
      </c>
      <c r="G110" s="30">
        <f>IFERROR(IF($C110="","",$D110*$F110),"")</f>
        <v/>
      </c>
      <c r="H110" s="28" t="inlineStr"/>
      <c r="I110" s="38">
        <f>IF($B110="","",SUMIFS(VENTAS!$D$5:$D$504,VENTAS!$B$5:$B$504,INICIO!$C$8,VENTAS!$C$5:$C$504,$B110))</f>
        <v/>
      </c>
      <c r="J110" s="38">
        <f>IF($C110="","",$D110*$I110)</f>
        <v/>
      </c>
    </row>
    <row r="111">
      <c r="A111" s="29" t="n">
        <v>107</v>
      </c>
      <c r="B111" s="28" t="inlineStr">
        <is>
          <t>Nutella c/alcohol</t>
        </is>
      </c>
      <c r="C111" s="28" t="inlineStr">
        <is>
          <t>Vaso 12 oz</t>
        </is>
      </c>
      <c r="D111" s="36" t="n">
        <v>1</v>
      </c>
      <c r="E111" s="15">
        <f>IFERROR(IF($C111="","",INDEX(INSUMOS!$G$5:$G$84,MATCH($C111,INSUMOS!$B$5:$B$84,0))),"")</f>
        <v/>
      </c>
      <c r="F111" s="37">
        <f>IFERROR(IF($C111="","",INDEX(INSUMOS!$I$5:$I$84,MATCH($C111,INSUMOS!$B$5:$B$84,0))),"")</f>
        <v/>
      </c>
      <c r="G111" s="30">
        <f>IFERROR(IF($C111="","",$D111*$F111),"")</f>
        <v/>
      </c>
      <c r="H111" s="28" t="inlineStr"/>
      <c r="I111" s="38">
        <f>IF($B111="","",SUMIFS(VENTAS!$D$5:$D$504,VENTAS!$B$5:$B$504,INICIO!$C$8,VENTAS!$C$5:$C$504,$B111))</f>
        <v/>
      </c>
      <c r="J111" s="38">
        <f>IF($C111="","",$D111*$I111)</f>
        <v/>
      </c>
    </row>
    <row r="112">
      <c r="A112" s="29" t="n">
        <v>108</v>
      </c>
      <c r="B112" s="28" t="inlineStr">
        <is>
          <t>Nutella c/alcohol</t>
        </is>
      </c>
      <c r="C112" s="28" t="inlineStr">
        <is>
          <t>Tapa domo 12 oz</t>
        </is>
      </c>
      <c r="D112" s="36" t="n">
        <v>1</v>
      </c>
      <c r="E112" s="15">
        <f>IFERROR(IF($C112="","",INDEX(INSUMOS!$G$5:$G$84,MATCH($C112,INSUMOS!$B$5:$B$84,0))),"")</f>
        <v/>
      </c>
      <c r="F112" s="37">
        <f>IFERROR(IF($C112="","",INDEX(INSUMOS!$I$5:$I$84,MATCH($C112,INSUMOS!$B$5:$B$84,0))),"")</f>
        <v/>
      </c>
      <c r="G112" s="30">
        <f>IFERROR(IF($C112="","",$D112*$F112),"")</f>
        <v/>
      </c>
      <c r="H112" s="28" t="inlineStr"/>
      <c r="I112" s="38">
        <f>IF($B112="","",SUMIFS(VENTAS!$D$5:$D$504,VENTAS!$B$5:$B$504,INICIO!$C$8,VENTAS!$C$5:$C$504,$B112))</f>
        <v/>
      </c>
      <c r="J112" s="38">
        <f>IF($C112="","",$D112*$I112)</f>
        <v/>
      </c>
    </row>
    <row r="113">
      <c r="A113" s="29" t="n">
        <v>109</v>
      </c>
      <c r="B113" s="28" t="inlineStr">
        <is>
          <t>Nutella c/alcohol</t>
        </is>
      </c>
      <c r="C113" s="28" t="inlineStr">
        <is>
          <t>Pitillo</t>
        </is>
      </c>
      <c r="D113" s="36" t="n">
        <v>1</v>
      </c>
      <c r="E113" s="15">
        <f>IFERROR(IF($C113="","",INDEX(INSUMOS!$G$5:$G$84,MATCH($C113,INSUMOS!$B$5:$B$84,0))),"")</f>
        <v/>
      </c>
      <c r="F113" s="37">
        <f>IFERROR(IF($C113="","",INDEX(INSUMOS!$I$5:$I$84,MATCH($C113,INSUMOS!$B$5:$B$84,0))),"")</f>
        <v/>
      </c>
      <c r="G113" s="30">
        <f>IFERROR(IF($C113="","",$D113*$F113),"")</f>
        <v/>
      </c>
      <c r="H113" s="28" t="inlineStr"/>
      <c r="I113" s="38">
        <f>IF($B113="","",SUMIFS(VENTAS!$D$5:$D$504,VENTAS!$B$5:$B$504,INICIO!$C$8,VENTAS!$C$5:$C$504,$B113))</f>
        <v/>
      </c>
      <c r="J113" s="38">
        <f>IF($C113="","",$D113*$I113)</f>
        <v/>
      </c>
    </row>
    <row r="114">
      <c r="A114" s="29" t="n">
        <v>110</v>
      </c>
      <c r="B114" s="28" t="inlineStr">
        <is>
          <t>Nutella c/alcohol</t>
        </is>
      </c>
      <c r="C114" s="28" t="inlineStr">
        <is>
          <t>Servilleta</t>
        </is>
      </c>
      <c r="D114" s="36" t="n">
        <v>1</v>
      </c>
      <c r="E114" s="15">
        <f>IFERROR(IF($C114="","",INDEX(INSUMOS!$G$5:$G$84,MATCH($C114,INSUMOS!$B$5:$B$84,0))),"")</f>
        <v/>
      </c>
      <c r="F114" s="37">
        <f>IFERROR(IF($C114="","",INDEX(INSUMOS!$I$5:$I$84,MATCH($C114,INSUMOS!$B$5:$B$84,0))),"")</f>
        <v/>
      </c>
      <c r="G114" s="30">
        <f>IFERROR(IF($C114="","",$D114*$F114),"")</f>
        <v/>
      </c>
      <c r="H114" s="28" t="inlineStr"/>
      <c r="I114" s="38">
        <f>IF($B114="","",SUMIFS(VENTAS!$D$5:$D$504,VENTAS!$B$5:$B$504,INICIO!$C$8,VENTAS!$C$5:$C$504,$B114))</f>
        <v/>
      </c>
      <c r="J114" s="38">
        <f>IF($C114="","",$D114*$I114)</f>
        <v/>
      </c>
    </row>
    <row r="115">
      <c r="A115" s="29" t="n">
        <v>111</v>
      </c>
      <c r="B115" s="28" t="inlineStr">
        <is>
          <t>Nutella c/alcohol</t>
        </is>
      </c>
      <c r="C115" s="28" t="inlineStr">
        <is>
          <t>Vodka / Aguardiente</t>
        </is>
      </c>
      <c r="D115" s="36" t="n">
        <v>30</v>
      </c>
      <c r="E115" s="15">
        <f>IFERROR(IF($C115="","",INDEX(INSUMOS!$G$5:$G$84,MATCH($C115,INSUMOS!$B$5:$B$84,0))),"")</f>
        <v/>
      </c>
      <c r="F115" s="37">
        <f>IFERROR(IF($C115="","",INDEX(INSUMOS!$I$5:$I$84,MATCH($C115,INSUMOS!$B$5:$B$84,0))),"")</f>
        <v/>
      </c>
      <c r="G115" s="30">
        <f>IFERROR(IF($C115="","",$D115*$F115),"")</f>
        <v/>
      </c>
      <c r="H115" s="28" t="inlineStr">
        <is>
          <t>Porcion estandar 30ml</t>
        </is>
      </c>
      <c r="I115" s="38">
        <f>IF($B115="","",SUMIFS(VENTAS!$D$5:$D$504,VENTAS!$B$5:$B$504,INICIO!$C$8,VENTAS!$C$5:$C$504,$B115))</f>
        <v/>
      </c>
      <c r="J115" s="38">
        <f>IF($C115="","",$D115*$I115)</f>
        <v/>
      </c>
    </row>
    <row r="116">
      <c r="A116" s="29" t="n">
        <v>112</v>
      </c>
      <c r="B116" s="28" t="inlineStr">
        <is>
          <t>Cafe c/alcohol</t>
        </is>
      </c>
      <c r="C116" s="28" t="inlineStr">
        <is>
          <t>Cafe soluble</t>
        </is>
      </c>
      <c r="D116" s="36" t="n">
        <v>4</v>
      </c>
      <c r="E116" s="15">
        <f>IFERROR(IF($C116="","",INDEX(INSUMOS!$G$5:$G$84,MATCH($C116,INSUMOS!$B$5:$B$84,0))),"")</f>
        <v/>
      </c>
      <c r="F116" s="37">
        <f>IFERROR(IF($C116="","",INDEX(INSUMOS!$I$5:$I$84,MATCH($C116,INSUMOS!$B$5:$B$84,0))),"")</f>
        <v/>
      </c>
      <c r="G116" s="30">
        <f>IFERROR(IF($C116="","",$D116*$F116),"")</f>
        <v/>
      </c>
      <c r="H116" s="28" t="inlineStr">
        <is>
          <t>2 cucharaditas, disolver primero</t>
        </is>
      </c>
      <c r="I116" s="38">
        <f>IF($B116="","",SUMIFS(VENTAS!$D$5:$D$504,VENTAS!$B$5:$B$504,INICIO!$C$8,VENTAS!$C$5:$C$504,$B116))</f>
        <v/>
      </c>
      <c r="J116" s="38">
        <f>IF($C116="","",$D116*$I116)</f>
        <v/>
      </c>
    </row>
    <row r="117">
      <c r="A117" s="29" t="n">
        <v>113</v>
      </c>
      <c r="B117" s="28" t="inlineStr">
        <is>
          <t>Cafe c/alcohol</t>
        </is>
      </c>
      <c r="C117" s="28" t="inlineStr">
        <is>
          <t>Leche condensada</t>
        </is>
      </c>
      <c r="D117" s="36" t="n">
        <v>20</v>
      </c>
      <c r="E117" s="15">
        <f>IFERROR(IF($C117="","",INDEX(INSUMOS!$G$5:$G$84,MATCH($C117,INSUMOS!$B$5:$B$84,0))),"")</f>
        <v/>
      </c>
      <c r="F117" s="37">
        <f>IFERROR(IF($C117="","",INDEX(INSUMOS!$I$5:$I$84,MATCH($C117,INSUMOS!$B$5:$B$84,0))),"")</f>
        <v/>
      </c>
      <c r="G117" s="30">
        <f>IFERROR(IF($C117="","",$D117*$F117),"")</f>
        <v/>
      </c>
      <c r="H117" s="28" t="inlineStr"/>
      <c r="I117" s="38">
        <f>IF($B117="","",SUMIFS(VENTAS!$D$5:$D$504,VENTAS!$B$5:$B$504,INICIO!$C$8,VENTAS!$C$5:$C$504,$B117))</f>
        <v/>
      </c>
      <c r="J117" s="38">
        <f>IF($C117="","",$D117*$I117)</f>
        <v/>
      </c>
    </row>
    <row r="118">
      <c r="A118" s="29" t="n">
        <v>114</v>
      </c>
      <c r="B118" s="28" t="inlineStr">
        <is>
          <t>Cafe c/alcohol</t>
        </is>
      </c>
      <c r="C118" s="28" t="inlineStr">
        <is>
          <t>Leche entera</t>
        </is>
      </c>
      <c r="D118" s="36" t="n">
        <v>80</v>
      </c>
      <c r="E118" s="15">
        <f>IFERROR(IF($C118="","",INDEX(INSUMOS!$G$5:$G$84,MATCH($C118,INSUMOS!$B$5:$B$84,0))),"")</f>
        <v/>
      </c>
      <c r="F118" s="37">
        <f>IFERROR(IF($C118="","",INDEX(INSUMOS!$I$5:$I$84,MATCH($C118,INSUMOS!$B$5:$B$84,0))),"")</f>
        <v/>
      </c>
      <c r="G118" s="30">
        <f>IFERROR(IF($C118="","",$D118*$F118),"")</f>
        <v/>
      </c>
      <c r="H118" s="28" t="inlineStr"/>
      <c r="I118" s="38">
        <f>IF($B118="","",SUMIFS(VENTAS!$D$5:$D$504,VENTAS!$B$5:$B$504,INICIO!$C$8,VENTAS!$C$5:$C$504,$B118))</f>
        <v/>
      </c>
      <c r="J118" s="38">
        <f>IF($C118="","",$D118*$I118)</f>
        <v/>
      </c>
    </row>
    <row r="119">
      <c r="A119" s="29" t="n">
        <v>115</v>
      </c>
      <c r="B119" s="28" t="inlineStr">
        <is>
          <t>Cafe c/alcohol</t>
        </is>
      </c>
      <c r="C119" s="28" t="inlineStr">
        <is>
          <t>Hielo en cubos</t>
        </is>
      </c>
      <c r="D119" s="36" t="n">
        <v>160</v>
      </c>
      <c r="E119" s="15">
        <f>IFERROR(IF($C119="","",INDEX(INSUMOS!$G$5:$G$84,MATCH($C119,INSUMOS!$B$5:$B$84,0))),"")</f>
        <v/>
      </c>
      <c r="F119" s="37">
        <f>IFERROR(IF($C119="","",INDEX(INSUMOS!$I$5:$I$84,MATCH($C119,INSUMOS!$B$5:$B$84,0))),"")</f>
        <v/>
      </c>
      <c r="G119" s="30">
        <f>IFERROR(IF($C119="","",$D119*$F119),"")</f>
        <v/>
      </c>
      <c r="H119" s="28" t="inlineStr"/>
      <c r="I119" s="38">
        <f>IF($B119="","",SUMIFS(VENTAS!$D$5:$D$504,VENTAS!$B$5:$B$504,INICIO!$C$8,VENTAS!$C$5:$C$504,$B119))</f>
        <v/>
      </c>
      <c r="J119" s="38">
        <f>IF($C119="","",$D119*$I119)</f>
        <v/>
      </c>
    </row>
    <row r="120">
      <c r="A120" s="29" t="n">
        <v>116</v>
      </c>
      <c r="B120" s="28" t="inlineStr">
        <is>
          <t>Cafe c/alcohol</t>
        </is>
      </c>
      <c r="C120" s="28" t="inlineStr">
        <is>
          <t>Vaso 12 oz</t>
        </is>
      </c>
      <c r="D120" s="36" t="n">
        <v>1</v>
      </c>
      <c r="E120" s="15">
        <f>IFERROR(IF($C120="","",INDEX(INSUMOS!$G$5:$G$84,MATCH($C120,INSUMOS!$B$5:$B$84,0))),"")</f>
        <v/>
      </c>
      <c r="F120" s="37">
        <f>IFERROR(IF($C120="","",INDEX(INSUMOS!$I$5:$I$84,MATCH($C120,INSUMOS!$B$5:$B$84,0))),"")</f>
        <v/>
      </c>
      <c r="G120" s="30">
        <f>IFERROR(IF($C120="","",$D120*$F120),"")</f>
        <v/>
      </c>
      <c r="H120" s="28" t="inlineStr"/>
      <c r="I120" s="38">
        <f>IF($B120="","",SUMIFS(VENTAS!$D$5:$D$504,VENTAS!$B$5:$B$504,INICIO!$C$8,VENTAS!$C$5:$C$504,$B120))</f>
        <v/>
      </c>
      <c r="J120" s="38">
        <f>IF($C120="","",$D120*$I120)</f>
        <v/>
      </c>
    </row>
    <row r="121">
      <c r="A121" s="29" t="n">
        <v>117</v>
      </c>
      <c r="B121" s="28" t="inlineStr">
        <is>
          <t>Cafe c/alcohol</t>
        </is>
      </c>
      <c r="C121" s="28" t="inlineStr">
        <is>
          <t>Tapa domo 12 oz</t>
        </is>
      </c>
      <c r="D121" s="36" t="n">
        <v>1</v>
      </c>
      <c r="E121" s="15">
        <f>IFERROR(IF($C121="","",INDEX(INSUMOS!$G$5:$G$84,MATCH($C121,INSUMOS!$B$5:$B$84,0))),"")</f>
        <v/>
      </c>
      <c r="F121" s="37">
        <f>IFERROR(IF($C121="","",INDEX(INSUMOS!$I$5:$I$84,MATCH($C121,INSUMOS!$B$5:$B$84,0))),"")</f>
        <v/>
      </c>
      <c r="G121" s="30">
        <f>IFERROR(IF($C121="","",$D121*$F121),"")</f>
        <v/>
      </c>
      <c r="H121" s="28" t="inlineStr"/>
      <c r="I121" s="38">
        <f>IF($B121="","",SUMIFS(VENTAS!$D$5:$D$504,VENTAS!$B$5:$B$504,INICIO!$C$8,VENTAS!$C$5:$C$504,$B121))</f>
        <v/>
      </c>
      <c r="J121" s="38">
        <f>IF($C121="","",$D121*$I121)</f>
        <v/>
      </c>
    </row>
    <row r="122">
      <c r="A122" s="29" t="n">
        <v>118</v>
      </c>
      <c r="B122" s="28" t="inlineStr">
        <is>
          <t>Cafe c/alcohol</t>
        </is>
      </c>
      <c r="C122" s="28" t="inlineStr">
        <is>
          <t>Pitillo</t>
        </is>
      </c>
      <c r="D122" s="36" t="n">
        <v>1</v>
      </c>
      <c r="E122" s="15">
        <f>IFERROR(IF($C122="","",INDEX(INSUMOS!$G$5:$G$84,MATCH($C122,INSUMOS!$B$5:$B$84,0))),"")</f>
        <v/>
      </c>
      <c r="F122" s="37">
        <f>IFERROR(IF($C122="","",INDEX(INSUMOS!$I$5:$I$84,MATCH($C122,INSUMOS!$B$5:$B$84,0))),"")</f>
        <v/>
      </c>
      <c r="G122" s="30">
        <f>IFERROR(IF($C122="","",$D122*$F122),"")</f>
        <v/>
      </c>
      <c r="H122" s="28" t="inlineStr"/>
      <c r="I122" s="38">
        <f>IF($B122="","",SUMIFS(VENTAS!$D$5:$D$504,VENTAS!$B$5:$B$504,INICIO!$C$8,VENTAS!$C$5:$C$504,$B122))</f>
        <v/>
      </c>
      <c r="J122" s="38">
        <f>IF($C122="","",$D122*$I122)</f>
        <v/>
      </c>
    </row>
    <row r="123">
      <c r="A123" s="29" t="n">
        <v>119</v>
      </c>
      <c r="B123" s="28" t="inlineStr">
        <is>
          <t>Cafe c/alcohol</t>
        </is>
      </c>
      <c r="C123" s="28" t="inlineStr">
        <is>
          <t>Servilleta</t>
        </is>
      </c>
      <c r="D123" s="36" t="n">
        <v>1</v>
      </c>
      <c r="E123" s="15">
        <f>IFERROR(IF($C123="","",INDEX(INSUMOS!$G$5:$G$84,MATCH($C123,INSUMOS!$B$5:$B$84,0))),"")</f>
        <v/>
      </c>
      <c r="F123" s="37">
        <f>IFERROR(IF($C123="","",INDEX(INSUMOS!$I$5:$I$84,MATCH($C123,INSUMOS!$B$5:$B$84,0))),"")</f>
        <v/>
      </c>
      <c r="G123" s="30">
        <f>IFERROR(IF($C123="","",$D123*$F123),"")</f>
        <v/>
      </c>
      <c r="H123" s="28" t="inlineStr"/>
      <c r="I123" s="38">
        <f>IF($B123="","",SUMIFS(VENTAS!$D$5:$D$504,VENTAS!$B$5:$B$504,INICIO!$C$8,VENTAS!$C$5:$C$504,$B123))</f>
        <v/>
      </c>
      <c r="J123" s="38">
        <f>IF($C123="","",$D123*$I123)</f>
        <v/>
      </c>
    </row>
    <row r="124">
      <c r="A124" s="29" t="n">
        <v>120</v>
      </c>
      <c r="B124" s="28" t="inlineStr">
        <is>
          <t>Cafe c/alcohol</t>
        </is>
      </c>
      <c r="C124" s="28" t="inlineStr">
        <is>
          <t>Vodka / Aguardiente</t>
        </is>
      </c>
      <c r="D124" s="36" t="n">
        <v>30</v>
      </c>
      <c r="E124" s="15">
        <f>IFERROR(IF($C124="","",INDEX(INSUMOS!$G$5:$G$84,MATCH($C124,INSUMOS!$B$5:$B$84,0))),"")</f>
        <v/>
      </c>
      <c r="F124" s="37">
        <f>IFERROR(IF($C124="","",INDEX(INSUMOS!$I$5:$I$84,MATCH($C124,INSUMOS!$B$5:$B$84,0))),"")</f>
        <v/>
      </c>
      <c r="G124" s="30">
        <f>IFERROR(IF($C124="","",$D124*$F124),"")</f>
        <v/>
      </c>
      <c r="H124" s="28" t="inlineStr">
        <is>
          <t>Porcion estandar 30ml</t>
        </is>
      </c>
      <c r="I124" s="38">
        <f>IF($B124="","",SUMIFS(VENTAS!$D$5:$D$504,VENTAS!$B$5:$B$504,INICIO!$C$8,VENTAS!$C$5:$C$504,$B124))</f>
        <v/>
      </c>
      <c r="J124" s="38">
        <f>IF($C124="","",$D124*$I124)</f>
        <v/>
      </c>
    </row>
    <row r="125">
      <c r="A125" s="29" t="n"/>
      <c r="B125" s="28" t="n"/>
      <c r="C125" s="28" t="n"/>
      <c r="D125" s="36" t="n"/>
      <c r="E125" s="15">
        <f>IFERROR(IF($C125="","",INDEX(INSUMOS!$G$5:$G$84,MATCH($C125,INSUMOS!$B$5:$B$84,0))),"")</f>
        <v/>
      </c>
      <c r="F125" s="37">
        <f>IFERROR(IF($C125="","",INDEX(INSUMOS!$I$5:$I$84,MATCH($C125,INSUMOS!$B$5:$B$84,0))),"")</f>
        <v/>
      </c>
      <c r="G125" s="30">
        <f>IFERROR(IF($C125="","",$D125*$F125),"")</f>
        <v/>
      </c>
      <c r="H125" s="28" t="n"/>
      <c r="I125" s="38">
        <f>IF($B125="","",SUMIFS(VENTAS!$D$5:$D$504,VENTAS!$B$5:$B$504,INICIO!$C$8,VENTAS!$C$5:$C$504,$B125))</f>
        <v/>
      </c>
      <c r="J125" s="38">
        <f>IF($C125="","",$D125*$I125)</f>
        <v/>
      </c>
    </row>
    <row r="126">
      <c r="A126" s="29" t="n"/>
      <c r="B126" s="28" t="n"/>
      <c r="C126" s="28" t="n"/>
      <c r="D126" s="36" t="n"/>
      <c r="E126" s="15">
        <f>IFERROR(IF($C126="","",INDEX(INSUMOS!$G$5:$G$84,MATCH($C126,INSUMOS!$B$5:$B$84,0))),"")</f>
        <v/>
      </c>
      <c r="F126" s="37">
        <f>IFERROR(IF($C126="","",INDEX(INSUMOS!$I$5:$I$84,MATCH($C126,INSUMOS!$B$5:$B$84,0))),"")</f>
        <v/>
      </c>
      <c r="G126" s="30">
        <f>IFERROR(IF($C126="","",$D126*$F126),"")</f>
        <v/>
      </c>
      <c r="H126" s="28" t="n"/>
      <c r="I126" s="38">
        <f>IF($B126="","",SUMIFS(VENTAS!$D$5:$D$504,VENTAS!$B$5:$B$504,INICIO!$C$8,VENTAS!$C$5:$C$504,$B126))</f>
        <v/>
      </c>
      <c r="J126" s="38">
        <f>IF($C126="","",$D126*$I126)</f>
        <v/>
      </c>
    </row>
    <row r="127">
      <c r="A127" s="29" t="n"/>
      <c r="B127" s="28" t="n"/>
      <c r="C127" s="28" t="n"/>
      <c r="D127" s="36" t="n"/>
      <c r="E127" s="15">
        <f>IFERROR(IF($C127="","",INDEX(INSUMOS!$G$5:$G$84,MATCH($C127,INSUMOS!$B$5:$B$84,0))),"")</f>
        <v/>
      </c>
      <c r="F127" s="37">
        <f>IFERROR(IF($C127="","",INDEX(INSUMOS!$I$5:$I$84,MATCH($C127,INSUMOS!$B$5:$B$84,0))),"")</f>
        <v/>
      </c>
      <c r="G127" s="30">
        <f>IFERROR(IF($C127="","",$D127*$F127),"")</f>
        <v/>
      </c>
      <c r="H127" s="28" t="n"/>
      <c r="I127" s="38">
        <f>IF($B127="","",SUMIFS(VENTAS!$D$5:$D$504,VENTAS!$B$5:$B$504,INICIO!$C$8,VENTAS!$C$5:$C$504,$B127))</f>
        <v/>
      </c>
      <c r="J127" s="38">
        <f>IF($C127="","",$D127*$I127)</f>
        <v/>
      </c>
    </row>
    <row r="128">
      <c r="A128" s="29" t="n"/>
      <c r="B128" s="28" t="n"/>
      <c r="C128" s="28" t="n"/>
      <c r="D128" s="36" t="n"/>
      <c r="E128" s="15">
        <f>IFERROR(IF($C128="","",INDEX(INSUMOS!$G$5:$G$84,MATCH($C128,INSUMOS!$B$5:$B$84,0))),"")</f>
        <v/>
      </c>
      <c r="F128" s="37">
        <f>IFERROR(IF($C128="","",INDEX(INSUMOS!$I$5:$I$84,MATCH($C128,INSUMOS!$B$5:$B$84,0))),"")</f>
        <v/>
      </c>
      <c r="G128" s="30">
        <f>IFERROR(IF($C128="","",$D128*$F128),"")</f>
        <v/>
      </c>
      <c r="H128" s="28" t="n"/>
      <c r="I128" s="38">
        <f>IF($B128="","",SUMIFS(VENTAS!$D$5:$D$504,VENTAS!$B$5:$B$504,INICIO!$C$8,VENTAS!$C$5:$C$504,$B128))</f>
        <v/>
      </c>
      <c r="J128" s="38">
        <f>IF($C128="","",$D128*$I128)</f>
        <v/>
      </c>
    </row>
    <row r="129">
      <c r="A129" s="29" t="n"/>
      <c r="B129" s="28" t="n"/>
      <c r="C129" s="28" t="n"/>
      <c r="D129" s="36" t="n"/>
      <c r="E129" s="15">
        <f>IFERROR(IF($C129="","",INDEX(INSUMOS!$G$5:$G$84,MATCH($C129,INSUMOS!$B$5:$B$84,0))),"")</f>
        <v/>
      </c>
      <c r="F129" s="37">
        <f>IFERROR(IF($C129="","",INDEX(INSUMOS!$I$5:$I$84,MATCH($C129,INSUMOS!$B$5:$B$84,0))),"")</f>
        <v/>
      </c>
      <c r="G129" s="30">
        <f>IFERROR(IF($C129="","",$D129*$F129),"")</f>
        <v/>
      </c>
      <c r="H129" s="28" t="n"/>
      <c r="I129" s="38">
        <f>IF($B129="","",SUMIFS(VENTAS!$D$5:$D$504,VENTAS!$B$5:$B$504,INICIO!$C$8,VENTAS!$C$5:$C$504,$B129))</f>
        <v/>
      </c>
      <c r="J129" s="38">
        <f>IF($C129="","",$D129*$I129)</f>
        <v/>
      </c>
    </row>
    <row r="130">
      <c r="A130" s="29" t="n"/>
      <c r="B130" s="28" t="n"/>
      <c r="C130" s="28" t="n"/>
      <c r="D130" s="36" t="n"/>
      <c r="E130" s="15">
        <f>IFERROR(IF($C130="","",INDEX(INSUMOS!$G$5:$G$84,MATCH($C130,INSUMOS!$B$5:$B$84,0))),"")</f>
        <v/>
      </c>
      <c r="F130" s="37">
        <f>IFERROR(IF($C130="","",INDEX(INSUMOS!$I$5:$I$84,MATCH($C130,INSUMOS!$B$5:$B$84,0))),"")</f>
        <v/>
      </c>
      <c r="G130" s="30">
        <f>IFERROR(IF($C130="","",$D130*$F130),"")</f>
        <v/>
      </c>
      <c r="H130" s="28" t="n"/>
      <c r="I130" s="38">
        <f>IF($B130="","",SUMIFS(VENTAS!$D$5:$D$504,VENTAS!$B$5:$B$504,INICIO!$C$8,VENTAS!$C$5:$C$504,$B130))</f>
        <v/>
      </c>
      <c r="J130" s="38">
        <f>IF($C130="","",$D130*$I130)</f>
        <v/>
      </c>
    </row>
    <row r="131">
      <c r="A131" s="29" t="n"/>
      <c r="B131" s="28" t="n"/>
      <c r="C131" s="28" t="n"/>
      <c r="D131" s="36" t="n"/>
      <c r="E131" s="15">
        <f>IFERROR(IF($C131="","",INDEX(INSUMOS!$G$5:$G$84,MATCH($C131,INSUMOS!$B$5:$B$84,0))),"")</f>
        <v/>
      </c>
      <c r="F131" s="37">
        <f>IFERROR(IF($C131="","",INDEX(INSUMOS!$I$5:$I$84,MATCH($C131,INSUMOS!$B$5:$B$84,0))),"")</f>
        <v/>
      </c>
      <c r="G131" s="30">
        <f>IFERROR(IF($C131="","",$D131*$F131),"")</f>
        <v/>
      </c>
      <c r="H131" s="28" t="n"/>
      <c r="I131" s="38">
        <f>IF($B131="","",SUMIFS(VENTAS!$D$5:$D$504,VENTAS!$B$5:$B$504,INICIO!$C$8,VENTAS!$C$5:$C$504,$B131))</f>
        <v/>
      </c>
      <c r="J131" s="38">
        <f>IF($C131="","",$D131*$I131)</f>
        <v/>
      </c>
    </row>
    <row r="132">
      <c r="A132" s="29" t="n"/>
      <c r="B132" s="28" t="n"/>
      <c r="C132" s="28" t="n"/>
      <c r="D132" s="36" t="n"/>
      <c r="E132" s="15">
        <f>IFERROR(IF($C132="","",INDEX(INSUMOS!$G$5:$G$84,MATCH($C132,INSUMOS!$B$5:$B$84,0))),"")</f>
        <v/>
      </c>
      <c r="F132" s="37">
        <f>IFERROR(IF($C132="","",INDEX(INSUMOS!$I$5:$I$84,MATCH($C132,INSUMOS!$B$5:$B$84,0))),"")</f>
        <v/>
      </c>
      <c r="G132" s="30">
        <f>IFERROR(IF($C132="","",$D132*$F132),"")</f>
        <v/>
      </c>
      <c r="H132" s="28" t="n"/>
      <c r="I132" s="38">
        <f>IF($B132="","",SUMIFS(VENTAS!$D$5:$D$504,VENTAS!$B$5:$B$504,INICIO!$C$8,VENTAS!$C$5:$C$504,$B132))</f>
        <v/>
      </c>
      <c r="J132" s="38">
        <f>IF($C132="","",$D132*$I132)</f>
        <v/>
      </c>
    </row>
    <row r="133">
      <c r="A133" s="29" t="n"/>
      <c r="B133" s="28" t="n"/>
      <c r="C133" s="28" t="n"/>
      <c r="D133" s="36" t="n"/>
      <c r="E133" s="15">
        <f>IFERROR(IF($C133="","",INDEX(INSUMOS!$G$5:$G$84,MATCH($C133,INSUMOS!$B$5:$B$84,0))),"")</f>
        <v/>
      </c>
      <c r="F133" s="37">
        <f>IFERROR(IF($C133="","",INDEX(INSUMOS!$I$5:$I$84,MATCH($C133,INSUMOS!$B$5:$B$84,0))),"")</f>
        <v/>
      </c>
      <c r="G133" s="30">
        <f>IFERROR(IF($C133="","",$D133*$F133),"")</f>
        <v/>
      </c>
      <c r="H133" s="28" t="n"/>
      <c r="I133" s="38">
        <f>IF($B133="","",SUMIFS(VENTAS!$D$5:$D$504,VENTAS!$B$5:$B$504,INICIO!$C$8,VENTAS!$C$5:$C$504,$B133))</f>
        <v/>
      </c>
      <c r="J133" s="38">
        <f>IF($C133="","",$D133*$I133)</f>
        <v/>
      </c>
    </row>
    <row r="134">
      <c r="A134" s="29" t="n"/>
      <c r="B134" s="28" t="n"/>
      <c r="C134" s="28" t="n"/>
      <c r="D134" s="36" t="n"/>
      <c r="E134" s="15">
        <f>IFERROR(IF($C134="","",INDEX(INSUMOS!$G$5:$G$84,MATCH($C134,INSUMOS!$B$5:$B$84,0))),"")</f>
        <v/>
      </c>
      <c r="F134" s="37">
        <f>IFERROR(IF($C134="","",INDEX(INSUMOS!$I$5:$I$84,MATCH($C134,INSUMOS!$B$5:$B$84,0))),"")</f>
        <v/>
      </c>
      <c r="G134" s="30">
        <f>IFERROR(IF($C134="","",$D134*$F134),"")</f>
        <v/>
      </c>
      <c r="H134" s="28" t="n"/>
      <c r="I134" s="38">
        <f>IF($B134="","",SUMIFS(VENTAS!$D$5:$D$504,VENTAS!$B$5:$B$504,INICIO!$C$8,VENTAS!$C$5:$C$504,$B134))</f>
        <v/>
      </c>
      <c r="J134" s="38">
        <f>IF($C134="","",$D134*$I134)</f>
        <v/>
      </c>
    </row>
    <row r="135">
      <c r="A135" s="29" t="n"/>
      <c r="B135" s="28" t="n"/>
      <c r="C135" s="28" t="n"/>
      <c r="D135" s="36" t="n"/>
      <c r="E135" s="15">
        <f>IFERROR(IF($C135="","",INDEX(INSUMOS!$G$5:$G$84,MATCH($C135,INSUMOS!$B$5:$B$84,0))),"")</f>
        <v/>
      </c>
      <c r="F135" s="37">
        <f>IFERROR(IF($C135="","",INDEX(INSUMOS!$I$5:$I$84,MATCH($C135,INSUMOS!$B$5:$B$84,0))),"")</f>
        <v/>
      </c>
      <c r="G135" s="30">
        <f>IFERROR(IF($C135="","",$D135*$F135),"")</f>
        <v/>
      </c>
      <c r="H135" s="28" t="n"/>
      <c r="I135" s="38">
        <f>IF($B135="","",SUMIFS(VENTAS!$D$5:$D$504,VENTAS!$B$5:$B$504,INICIO!$C$8,VENTAS!$C$5:$C$504,$B135))</f>
        <v/>
      </c>
      <c r="J135" s="38">
        <f>IF($C135="","",$D135*$I135)</f>
        <v/>
      </c>
    </row>
    <row r="136">
      <c r="A136" s="29" t="n"/>
      <c r="B136" s="28" t="n"/>
      <c r="C136" s="28" t="n"/>
      <c r="D136" s="36" t="n"/>
      <c r="E136" s="15">
        <f>IFERROR(IF($C136="","",INDEX(INSUMOS!$G$5:$G$84,MATCH($C136,INSUMOS!$B$5:$B$84,0))),"")</f>
        <v/>
      </c>
      <c r="F136" s="37">
        <f>IFERROR(IF($C136="","",INDEX(INSUMOS!$I$5:$I$84,MATCH($C136,INSUMOS!$B$5:$B$84,0))),"")</f>
        <v/>
      </c>
      <c r="G136" s="30">
        <f>IFERROR(IF($C136="","",$D136*$F136),"")</f>
        <v/>
      </c>
      <c r="H136" s="28" t="n"/>
      <c r="I136" s="38">
        <f>IF($B136="","",SUMIFS(VENTAS!$D$5:$D$504,VENTAS!$B$5:$B$504,INICIO!$C$8,VENTAS!$C$5:$C$504,$B136))</f>
        <v/>
      </c>
      <c r="J136" s="38">
        <f>IF($C136="","",$D136*$I136)</f>
        <v/>
      </c>
    </row>
    <row r="137">
      <c r="A137" s="29" t="n"/>
      <c r="B137" s="28" t="n"/>
      <c r="C137" s="28" t="n"/>
      <c r="D137" s="36" t="n"/>
      <c r="E137" s="15">
        <f>IFERROR(IF($C137="","",INDEX(INSUMOS!$G$5:$G$84,MATCH($C137,INSUMOS!$B$5:$B$84,0))),"")</f>
        <v/>
      </c>
      <c r="F137" s="37">
        <f>IFERROR(IF($C137="","",INDEX(INSUMOS!$I$5:$I$84,MATCH($C137,INSUMOS!$B$5:$B$84,0))),"")</f>
        <v/>
      </c>
      <c r="G137" s="30">
        <f>IFERROR(IF($C137="","",$D137*$F137),"")</f>
        <v/>
      </c>
      <c r="H137" s="28" t="n"/>
      <c r="I137" s="38">
        <f>IF($B137="","",SUMIFS(VENTAS!$D$5:$D$504,VENTAS!$B$5:$B$504,INICIO!$C$8,VENTAS!$C$5:$C$504,$B137))</f>
        <v/>
      </c>
      <c r="J137" s="38">
        <f>IF($C137="","",$D137*$I137)</f>
        <v/>
      </c>
    </row>
    <row r="138">
      <c r="A138" s="29" t="n"/>
      <c r="B138" s="28" t="n"/>
      <c r="C138" s="28" t="n"/>
      <c r="D138" s="36" t="n"/>
      <c r="E138" s="15">
        <f>IFERROR(IF($C138="","",INDEX(INSUMOS!$G$5:$G$84,MATCH($C138,INSUMOS!$B$5:$B$84,0))),"")</f>
        <v/>
      </c>
      <c r="F138" s="37">
        <f>IFERROR(IF($C138="","",INDEX(INSUMOS!$I$5:$I$84,MATCH($C138,INSUMOS!$B$5:$B$84,0))),"")</f>
        <v/>
      </c>
      <c r="G138" s="30">
        <f>IFERROR(IF($C138="","",$D138*$F138),"")</f>
        <v/>
      </c>
      <c r="H138" s="28" t="n"/>
      <c r="I138" s="38">
        <f>IF($B138="","",SUMIFS(VENTAS!$D$5:$D$504,VENTAS!$B$5:$B$504,INICIO!$C$8,VENTAS!$C$5:$C$504,$B138))</f>
        <v/>
      </c>
      <c r="J138" s="38">
        <f>IF($C138="","",$D138*$I138)</f>
        <v/>
      </c>
    </row>
    <row r="139">
      <c r="A139" s="29" t="n"/>
      <c r="B139" s="28" t="n"/>
      <c r="C139" s="28" t="n"/>
      <c r="D139" s="36" t="n"/>
      <c r="E139" s="15">
        <f>IFERROR(IF($C139="","",INDEX(INSUMOS!$G$5:$G$84,MATCH($C139,INSUMOS!$B$5:$B$84,0))),"")</f>
        <v/>
      </c>
      <c r="F139" s="37">
        <f>IFERROR(IF($C139="","",INDEX(INSUMOS!$I$5:$I$84,MATCH($C139,INSUMOS!$B$5:$B$84,0))),"")</f>
        <v/>
      </c>
      <c r="G139" s="30">
        <f>IFERROR(IF($C139="","",$D139*$F139),"")</f>
        <v/>
      </c>
      <c r="H139" s="28" t="n"/>
      <c r="I139" s="38">
        <f>IF($B139="","",SUMIFS(VENTAS!$D$5:$D$504,VENTAS!$B$5:$B$504,INICIO!$C$8,VENTAS!$C$5:$C$504,$B139))</f>
        <v/>
      </c>
      <c r="J139" s="38">
        <f>IF($C139="","",$D139*$I139)</f>
        <v/>
      </c>
    </row>
    <row r="140">
      <c r="A140" s="29" t="n"/>
      <c r="B140" s="28" t="n"/>
      <c r="C140" s="28" t="n"/>
      <c r="D140" s="36" t="n"/>
      <c r="E140" s="15">
        <f>IFERROR(IF($C140="","",INDEX(INSUMOS!$G$5:$G$84,MATCH($C140,INSUMOS!$B$5:$B$84,0))),"")</f>
        <v/>
      </c>
      <c r="F140" s="37">
        <f>IFERROR(IF($C140="","",INDEX(INSUMOS!$I$5:$I$84,MATCH($C140,INSUMOS!$B$5:$B$84,0))),"")</f>
        <v/>
      </c>
      <c r="G140" s="30">
        <f>IFERROR(IF($C140="","",$D140*$F140),"")</f>
        <v/>
      </c>
      <c r="H140" s="28" t="n"/>
      <c r="I140" s="38">
        <f>IF($B140="","",SUMIFS(VENTAS!$D$5:$D$504,VENTAS!$B$5:$B$504,INICIO!$C$8,VENTAS!$C$5:$C$504,$B140))</f>
        <v/>
      </c>
      <c r="J140" s="38">
        <f>IF($C140="","",$D140*$I140)</f>
        <v/>
      </c>
    </row>
    <row r="141">
      <c r="A141" s="29" t="n"/>
      <c r="B141" s="28" t="n"/>
      <c r="C141" s="28" t="n"/>
      <c r="D141" s="36" t="n"/>
      <c r="E141" s="15">
        <f>IFERROR(IF($C141="","",INDEX(INSUMOS!$G$5:$G$84,MATCH($C141,INSUMOS!$B$5:$B$84,0))),"")</f>
        <v/>
      </c>
      <c r="F141" s="37">
        <f>IFERROR(IF($C141="","",INDEX(INSUMOS!$I$5:$I$84,MATCH($C141,INSUMOS!$B$5:$B$84,0))),"")</f>
        <v/>
      </c>
      <c r="G141" s="30">
        <f>IFERROR(IF($C141="","",$D141*$F141),"")</f>
        <v/>
      </c>
      <c r="H141" s="28" t="n"/>
      <c r="I141" s="38">
        <f>IF($B141="","",SUMIFS(VENTAS!$D$5:$D$504,VENTAS!$B$5:$B$504,INICIO!$C$8,VENTAS!$C$5:$C$504,$B141))</f>
        <v/>
      </c>
      <c r="J141" s="38">
        <f>IF($C141="","",$D141*$I141)</f>
        <v/>
      </c>
    </row>
    <row r="142">
      <c r="A142" s="29" t="n"/>
      <c r="B142" s="28" t="n"/>
      <c r="C142" s="28" t="n"/>
      <c r="D142" s="36" t="n"/>
      <c r="E142" s="15">
        <f>IFERROR(IF($C142="","",INDEX(INSUMOS!$G$5:$G$84,MATCH($C142,INSUMOS!$B$5:$B$84,0))),"")</f>
        <v/>
      </c>
      <c r="F142" s="37">
        <f>IFERROR(IF($C142="","",INDEX(INSUMOS!$I$5:$I$84,MATCH($C142,INSUMOS!$B$5:$B$84,0))),"")</f>
        <v/>
      </c>
      <c r="G142" s="30">
        <f>IFERROR(IF($C142="","",$D142*$F142),"")</f>
        <v/>
      </c>
      <c r="H142" s="28" t="n"/>
      <c r="I142" s="38">
        <f>IF($B142="","",SUMIFS(VENTAS!$D$5:$D$504,VENTAS!$B$5:$B$504,INICIO!$C$8,VENTAS!$C$5:$C$504,$B142))</f>
        <v/>
      </c>
      <c r="J142" s="38">
        <f>IF($C142="","",$D142*$I142)</f>
        <v/>
      </c>
    </row>
    <row r="143">
      <c r="A143" s="29" t="n"/>
      <c r="B143" s="28" t="n"/>
      <c r="C143" s="28" t="n"/>
      <c r="D143" s="36" t="n"/>
      <c r="E143" s="15">
        <f>IFERROR(IF($C143="","",INDEX(INSUMOS!$G$5:$G$84,MATCH($C143,INSUMOS!$B$5:$B$84,0))),"")</f>
        <v/>
      </c>
      <c r="F143" s="37">
        <f>IFERROR(IF($C143="","",INDEX(INSUMOS!$I$5:$I$84,MATCH($C143,INSUMOS!$B$5:$B$84,0))),"")</f>
        <v/>
      </c>
      <c r="G143" s="30">
        <f>IFERROR(IF($C143="","",$D143*$F143),"")</f>
        <v/>
      </c>
      <c r="H143" s="28" t="n"/>
      <c r="I143" s="38">
        <f>IF($B143="","",SUMIFS(VENTAS!$D$5:$D$504,VENTAS!$B$5:$B$504,INICIO!$C$8,VENTAS!$C$5:$C$504,$B143))</f>
        <v/>
      </c>
      <c r="J143" s="38">
        <f>IF($C143="","",$D143*$I143)</f>
        <v/>
      </c>
    </row>
    <row r="144">
      <c r="A144" s="29" t="n"/>
      <c r="B144" s="28" t="n"/>
      <c r="C144" s="28" t="n"/>
      <c r="D144" s="36" t="n"/>
      <c r="E144" s="15">
        <f>IFERROR(IF($C144="","",INDEX(INSUMOS!$G$5:$G$84,MATCH($C144,INSUMOS!$B$5:$B$84,0))),"")</f>
        <v/>
      </c>
      <c r="F144" s="37">
        <f>IFERROR(IF($C144="","",INDEX(INSUMOS!$I$5:$I$84,MATCH($C144,INSUMOS!$B$5:$B$84,0))),"")</f>
        <v/>
      </c>
      <c r="G144" s="30">
        <f>IFERROR(IF($C144="","",$D144*$F144),"")</f>
        <v/>
      </c>
      <c r="H144" s="28" t="n"/>
      <c r="I144" s="38">
        <f>IF($B144="","",SUMIFS(VENTAS!$D$5:$D$504,VENTAS!$B$5:$B$504,INICIO!$C$8,VENTAS!$C$5:$C$504,$B144))</f>
        <v/>
      </c>
      <c r="J144" s="38">
        <f>IF($C144="","",$D144*$I144)</f>
        <v/>
      </c>
    </row>
    <row r="145">
      <c r="A145" s="29" t="n"/>
      <c r="B145" s="28" t="n"/>
      <c r="C145" s="28" t="n"/>
      <c r="D145" s="36" t="n"/>
      <c r="E145" s="15">
        <f>IFERROR(IF($C145="","",INDEX(INSUMOS!$G$5:$G$84,MATCH($C145,INSUMOS!$B$5:$B$84,0))),"")</f>
        <v/>
      </c>
      <c r="F145" s="37">
        <f>IFERROR(IF($C145="","",INDEX(INSUMOS!$I$5:$I$84,MATCH($C145,INSUMOS!$B$5:$B$84,0))),"")</f>
        <v/>
      </c>
      <c r="G145" s="30">
        <f>IFERROR(IF($C145="","",$D145*$F145),"")</f>
        <v/>
      </c>
      <c r="H145" s="28" t="n"/>
      <c r="I145" s="38">
        <f>IF($B145="","",SUMIFS(VENTAS!$D$5:$D$504,VENTAS!$B$5:$B$504,INICIO!$C$8,VENTAS!$C$5:$C$504,$B145))</f>
        <v/>
      </c>
      <c r="J145" s="38">
        <f>IF($C145="","",$D145*$I145)</f>
        <v/>
      </c>
    </row>
    <row r="146">
      <c r="A146" s="29" t="n"/>
      <c r="B146" s="28" t="n"/>
      <c r="C146" s="28" t="n"/>
      <c r="D146" s="36" t="n"/>
      <c r="E146" s="15">
        <f>IFERROR(IF($C146="","",INDEX(INSUMOS!$G$5:$G$84,MATCH($C146,INSUMOS!$B$5:$B$84,0))),"")</f>
        <v/>
      </c>
      <c r="F146" s="37">
        <f>IFERROR(IF($C146="","",INDEX(INSUMOS!$I$5:$I$84,MATCH($C146,INSUMOS!$B$5:$B$84,0))),"")</f>
        <v/>
      </c>
      <c r="G146" s="30">
        <f>IFERROR(IF($C146="","",$D146*$F146),"")</f>
        <v/>
      </c>
      <c r="H146" s="28" t="n"/>
      <c r="I146" s="38">
        <f>IF($B146="","",SUMIFS(VENTAS!$D$5:$D$504,VENTAS!$B$5:$B$504,INICIO!$C$8,VENTAS!$C$5:$C$504,$B146))</f>
        <v/>
      </c>
      <c r="J146" s="38">
        <f>IF($C146="","",$D146*$I146)</f>
        <v/>
      </c>
    </row>
    <row r="147">
      <c r="A147" s="29" t="n"/>
      <c r="B147" s="28" t="n"/>
      <c r="C147" s="28" t="n"/>
      <c r="D147" s="36" t="n"/>
      <c r="E147" s="15">
        <f>IFERROR(IF($C147="","",INDEX(INSUMOS!$G$5:$G$84,MATCH($C147,INSUMOS!$B$5:$B$84,0))),"")</f>
        <v/>
      </c>
      <c r="F147" s="37">
        <f>IFERROR(IF($C147="","",INDEX(INSUMOS!$I$5:$I$84,MATCH($C147,INSUMOS!$B$5:$B$84,0))),"")</f>
        <v/>
      </c>
      <c r="G147" s="30">
        <f>IFERROR(IF($C147="","",$D147*$F147),"")</f>
        <v/>
      </c>
      <c r="H147" s="28" t="n"/>
      <c r="I147" s="38">
        <f>IF($B147="","",SUMIFS(VENTAS!$D$5:$D$504,VENTAS!$B$5:$B$504,INICIO!$C$8,VENTAS!$C$5:$C$504,$B147))</f>
        <v/>
      </c>
      <c r="J147" s="38">
        <f>IF($C147="","",$D147*$I147)</f>
        <v/>
      </c>
    </row>
    <row r="148">
      <c r="A148" s="29" t="n"/>
      <c r="B148" s="28" t="n"/>
      <c r="C148" s="28" t="n"/>
      <c r="D148" s="36" t="n"/>
      <c r="E148" s="15">
        <f>IFERROR(IF($C148="","",INDEX(INSUMOS!$G$5:$G$84,MATCH($C148,INSUMOS!$B$5:$B$84,0))),"")</f>
        <v/>
      </c>
      <c r="F148" s="37">
        <f>IFERROR(IF($C148="","",INDEX(INSUMOS!$I$5:$I$84,MATCH($C148,INSUMOS!$B$5:$B$84,0))),"")</f>
        <v/>
      </c>
      <c r="G148" s="30">
        <f>IFERROR(IF($C148="","",$D148*$F148),"")</f>
        <v/>
      </c>
      <c r="H148" s="28" t="n"/>
      <c r="I148" s="38">
        <f>IF($B148="","",SUMIFS(VENTAS!$D$5:$D$504,VENTAS!$B$5:$B$504,INICIO!$C$8,VENTAS!$C$5:$C$504,$B148))</f>
        <v/>
      </c>
      <c r="J148" s="38">
        <f>IF($C148="","",$D148*$I148)</f>
        <v/>
      </c>
    </row>
    <row r="149">
      <c r="A149" s="29" t="n"/>
      <c r="B149" s="28" t="n"/>
      <c r="C149" s="28" t="n"/>
      <c r="D149" s="36" t="n"/>
      <c r="E149" s="15">
        <f>IFERROR(IF($C149="","",INDEX(INSUMOS!$G$5:$G$84,MATCH($C149,INSUMOS!$B$5:$B$84,0))),"")</f>
        <v/>
      </c>
      <c r="F149" s="37">
        <f>IFERROR(IF($C149="","",INDEX(INSUMOS!$I$5:$I$84,MATCH($C149,INSUMOS!$B$5:$B$84,0))),"")</f>
        <v/>
      </c>
      <c r="G149" s="30">
        <f>IFERROR(IF($C149="","",$D149*$F149),"")</f>
        <v/>
      </c>
      <c r="H149" s="28" t="n"/>
      <c r="I149" s="38">
        <f>IF($B149="","",SUMIFS(VENTAS!$D$5:$D$504,VENTAS!$B$5:$B$504,INICIO!$C$8,VENTAS!$C$5:$C$504,$B149))</f>
        <v/>
      </c>
      <c r="J149" s="38">
        <f>IF($C149="","",$D149*$I149)</f>
        <v/>
      </c>
    </row>
    <row r="150">
      <c r="A150" s="29" t="n"/>
      <c r="B150" s="28" t="n"/>
      <c r="C150" s="28" t="n"/>
      <c r="D150" s="36" t="n"/>
      <c r="E150" s="15">
        <f>IFERROR(IF($C150="","",INDEX(INSUMOS!$G$5:$G$84,MATCH($C150,INSUMOS!$B$5:$B$84,0))),"")</f>
        <v/>
      </c>
      <c r="F150" s="37">
        <f>IFERROR(IF($C150="","",INDEX(INSUMOS!$I$5:$I$84,MATCH($C150,INSUMOS!$B$5:$B$84,0))),"")</f>
        <v/>
      </c>
      <c r="G150" s="30">
        <f>IFERROR(IF($C150="","",$D150*$F150),"")</f>
        <v/>
      </c>
      <c r="H150" s="28" t="n"/>
      <c r="I150" s="38">
        <f>IF($B150="","",SUMIFS(VENTAS!$D$5:$D$504,VENTAS!$B$5:$B$504,INICIO!$C$8,VENTAS!$C$5:$C$504,$B150))</f>
        <v/>
      </c>
      <c r="J150" s="38">
        <f>IF($C150="","",$D150*$I150)</f>
        <v/>
      </c>
    </row>
    <row r="151">
      <c r="A151" s="29" t="n"/>
      <c r="B151" s="28" t="n"/>
      <c r="C151" s="28" t="n"/>
      <c r="D151" s="36" t="n"/>
      <c r="E151" s="15">
        <f>IFERROR(IF($C151="","",INDEX(INSUMOS!$G$5:$G$84,MATCH($C151,INSUMOS!$B$5:$B$84,0))),"")</f>
        <v/>
      </c>
      <c r="F151" s="37">
        <f>IFERROR(IF($C151="","",INDEX(INSUMOS!$I$5:$I$84,MATCH($C151,INSUMOS!$B$5:$B$84,0))),"")</f>
        <v/>
      </c>
      <c r="G151" s="30">
        <f>IFERROR(IF($C151="","",$D151*$F151),"")</f>
        <v/>
      </c>
      <c r="H151" s="28" t="n"/>
      <c r="I151" s="38">
        <f>IF($B151="","",SUMIFS(VENTAS!$D$5:$D$504,VENTAS!$B$5:$B$504,INICIO!$C$8,VENTAS!$C$5:$C$504,$B151))</f>
        <v/>
      </c>
      <c r="J151" s="38">
        <f>IF($C151="","",$D151*$I151)</f>
        <v/>
      </c>
    </row>
    <row r="152">
      <c r="A152" s="29" t="n"/>
      <c r="B152" s="28" t="n"/>
      <c r="C152" s="28" t="n"/>
      <c r="D152" s="36" t="n"/>
      <c r="E152" s="15">
        <f>IFERROR(IF($C152="","",INDEX(INSUMOS!$G$5:$G$84,MATCH($C152,INSUMOS!$B$5:$B$84,0))),"")</f>
        <v/>
      </c>
      <c r="F152" s="37">
        <f>IFERROR(IF($C152="","",INDEX(INSUMOS!$I$5:$I$84,MATCH($C152,INSUMOS!$B$5:$B$84,0))),"")</f>
        <v/>
      </c>
      <c r="G152" s="30">
        <f>IFERROR(IF($C152="","",$D152*$F152),"")</f>
        <v/>
      </c>
      <c r="H152" s="28" t="n"/>
      <c r="I152" s="38">
        <f>IF($B152="","",SUMIFS(VENTAS!$D$5:$D$504,VENTAS!$B$5:$B$504,INICIO!$C$8,VENTAS!$C$5:$C$504,$B152))</f>
        <v/>
      </c>
      <c r="J152" s="38">
        <f>IF($C152="","",$D152*$I152)</f>
        <v/>
      </c>
    </row>
    <row r="153">
      <c r="A153" s="29" t="n"/>
      <c r="B153" s="28" t="n"/>
      <c r="C153" s="28" t="n"/>
      <c r="D153" s="36" t="n"/>
      <c r="E153" s="15">
        <f>IFERROR(IF($C153="","",INDEX(INSUMOS!$G$5:$G$84,MATCH($C153,INSUMOS!$B$5:$B$84,0))),"")</f>
        <v/>
      </c>
      <c r="F153" s="37">
        <f>IFERROR(IF($C153="","",INDEX(INSUMOS!$I$5:$I$84,MATCH($C153,INSUMOS!$B$5:$B$84,0))),"")</f>
        <v/>
      </c>
      <c r="G153" s="30">
        <f>IFERROR(IF($C153="","",$D153*$F153),"")</f>
        <v/>
      </c>
      <c r="H153" s="28" t="n"/>
      <c r="I153" s="38">
        <f>IF($B153="","",SUMIFS(VENTAS!$D$5:$D$504,VENTAS!$B$5:$B$504,INICIO!$C$8,VENTAS!$C$5:$C$504,$B153))</f>
        <v/>
      </c>
      <c r="J153" s="38">
        <f>IF($C153="","",$D153*$I153)</f>
        <v/>
      </c>
    </row>
    <row r="154">
      <c r="A154" s="29" t="n"/>
      <c r="B154" s="28" t="n"/>
      <c r="C154" s="28" t="n"/>
      <c r="D154" s="36" t="n"/>
      <c r="E154" s="15">
        <f>IFERROR(IF($C154="","",INDEX(INSUMOS!$G$5:$G$84,MATCH($C154,INSUMOS!$B$5:$B$84,0))),"")</f>
        <v/>
      </c>
      <c r="F154" s="37">
        <f>IFERROR(IF($C154="","",INDEX(INSUMOS!$I$5:$I$84,MATCH($C154,INSUMOS!$B$5:$B$84,0))),"")</f>
        <v/>
      </c>
      <c r="G154" s="30">
        <f>IFERROR(IF($C154="","",$D154*$F154),"")</f>
        <v/>
      </c>
      <c r="H154" s="28" t="n"/>
      <c r="I154" s="38">
        <f>IF($B154="","",SUMIFS(VENTAS!$D$5:$D$504,VENTAS!$B$5:$B$504,INICIO!$C$8,VENTAS!$C$5:$C$504,$B154))</f>
        <v/>
      </c>
      <c r="J154" s="38">
        <f>IF($C154="","",$D154*$I154)</f>
        <v/>
      </c>
    </row>
    <row r="155">
      <c r="A155" s="29" t="n"/>
      <c r="B155" s="28" t="n"/>
      <c r="C155" s="28" t="n"/>
      <c r="D155" s="36" t="n"/>
      <c r="E155" s="15">
        <f>IFERROR(IF($C155="","",INDEX(INSUMOS!$G$5:$G$84,MATCH($C155,INSUMOS!$B$5:$B$84,0))),"")</f>
        <v/>
      </c>
      <c r="F155" s="37">
        <f>IFERROR(IF($C155="","",INDEX(INSUMOS!$I$5:$I$84,MATCH($C155,INSUMOS!$B$5:$B$84,0))),"")</f>
        <v/>
      </c>
      <c r="G155" s="30">
        <f>IFERROR(IF($C155="","",$D155*$F155),"")</f>
        <v/>
      </c>
      <c r="H155" s="28" t="n"/>
      <c r="I155" s="38">
        <f>IF($B155="","",SUMIFS(VENTAS!$D$5:$D$504,VENTAS!$B$5:$B$504,INICIO!$C$8,VENTAS!$C$5:$C$504,$B155))</f>
        <v/>
      </c>
      <c r="J155" s="38">
        <f>IF($C155="","",$D155*$I155)</f>
        <v/>
      </c>
    </row>
    <row r="156">
      <c r="A156" s="29" t="n"/>
      <c r="B156" s="28" t="n"/>
      <c r="C156" s="28" t="n"/>
      <c r="D156" s="36" t="n"/>
      <c r="E156" s="15">
        <f>IFERROR(IF($C156="","",INDEX(INSUMOS!$G$5:$G$84,MATCH($C156,INSUMOS!$B$5:$B$84,0))),"")</f>
        <v/>
      </c>
      <c r="F156" s="37">
        <f>IFERROR(IF($C156="","",INDEX(INSUMOS!$I$5:$I$84,MATCH($C156,INSUMOS!$B$5:$B$84,0))),"")</f>
        <v/>
      </c>
      <c r="G156" s="30">
        <f>IFERROR(IF($C156="","",$D156*$F156),"")</f>
        <v/>
      </c>
      <c r="H156" s="28" t="n"/>
      <c r="I156" s="38">
        <f>IF($B156="","",SUMIFS(VENTAS!$D$5:$D$504,VENTAS!$B$5:$B$504,INICIO!$C$8,VENTAS!$C$5:$C$504,$B156))</f>
        <v/>
      </c>
      <c r="J156" s="38">
        <f>IF($C156="","",$D156*$I156)</f>
        <v/>
      </c>
    </row>
    <row r="157">
      <c r="A157" s="29" t="n"/>
      <c r="B157" s="28" t="n"/>
      <c r="C157" s="28" t="n"/>
      <c r="D157" s="36" t="n"/>
      <c r="E157" s="15">
        <f>IFERROR(IF($C157="","",INDEX(INSUMOS!$G$5:$G$84,MATCH($C157,INSUMOS!$B$5:$B$84,0))),"")</f>
        <v/>
      </c>
      <c r="F157" s="37">
        <f>IFERROR(IF($C157="","",INDEX(INSUMOS!$I$5:$I$84,MATCH($C157,INSUMOS!$B$5:$B$84,0))),"")</f>
        <v/>
      </c>
      <c r="G157" s="30">
        <f>IFERROR(IF($C157="","",$D157*$F157),"")</f>
        <v/>
      </c>
      <c r="H157" s="28" t="n"/>
      <c r="I157" s="38">
        <f>IF($B157="","",SUMIFS(VENTAS!$D$5:$D$504,VENTAS!$B$5:$B$504,INICIO!$C$8,VENTAS!$C$5:$C$504,$B157))</f>
        <v/>
      </c>
      <c r="J157" s="38">
        <f>IF($C157="","",$D157*$I157)</f>
        <v/>
      </c>
    </row>
    <row r="158">
      <c r="A158" s="29" t="n"/>
      <c r="B158" s="28" t="n"/>
      <c r="C158" s="28" t="n"/>
      <c r="D158" s="36" t="n"/>
      <c r="E158" s="15">
        <f>IFERROR(IF($C158="","",INDEX(INSUMOS!$G$5:$G$84,MATCH($C158,INSUMOS!$B$5:$B$84,0))),"")</f>
        <v/>
      </c>
      <c r="F158" s="37">
        <f>IFERROR(IF($C158="","",INDEX(INSUMOS!$I$5:$I$84,MATCH($C158,INSUMOS!$B$5:$B$84,0))),"")</f>
        <v/>
      </c>
      <c r="G158" s="30">
        <f>IFERROR(IF($C158="","",$D158*$F158),"")</f>
        <v/>
      </c>
      <c r="H158" s="28" t="n"/>
      <c r="I158" s="38">
        <f>IF($B158="","",SUMIFS(VENTAS!$D$5:$D$504,VENTAS!$B$5:$B$504,INICIO!$C$8,VENTAS!$C$5:$C$504,$B158))</f>
        <v/>
      </c>
      <c r="J158" s="38">
        <f>IF($C158="","",$D158*$I158)</f>
        <v/>
      </c>
    </row>
    <row r="159">
      <c r="A159" s="29" t="n"/>
      <c r="B159" s="28" t="n"/>
      <c r="C159" s="28" t="n"/>
      <c r="D159" s="36" t="n"/>
      <c r="E159" s="15">
        <f>IFERROR(IF($C159="","",INDEX(INSUMOS!$G$5:$G$84,MATCH($C159,INSUMOS!$B$5:$B$84,0))),"")</f>
        <v/>
      </c>
      <c r="F159" s="37">
        <f>IFERROR(IF($C159="","",INDEX(INSUMOS!$I$5:$I$84,MATCH($C159,INSUMOS!$B$5:$B$84,0))),"")</f>
        <v/>
      </c>
      <c r="G159" s="30">
        <f>IFERROR(IF($C159="","",$D159*$F159),"")</f>
        <v/>
      </c>
      <c r="H159" s="28" t="n"/>
      <c r="I159" s="38">
        <f>IF($B159="","",SUMIFS(VENTAS!$D$5:$D$504,VENTAS!$B$5:$B$504,INICIO!$C$8,VENTAS!$C$5:$C$504,$B159))</f>
        <v/>
      </c>
      <c r="J159" s="38">
        <f>IF($C159="","",$D159*$I159)</f>
        <v/>
      </c>
    </row>
    <row r="160">
      <c r="A160" s="29" t="n"/>
      <c r="B160" s="28" t="n"/>
      <c r="C160" s="28" t="n"/>
      <c r="D160" s="36" t="n"/>
      <c r="E160" s="15">
        <f>IFERROR(IF($C160="","",INDEX(INSUMOS!$G$5:$G$84,MATCH($C160,INSUMOS!$B$5:$B$84,0))),"")</f>
        <v/>
      </c>
      <c r="F160" s="37">
        <f>IFERROR(IF($C160="","",INDEX(INSUMOS!$I$5:$I$84,MATCH($C160,INSUMOS!$B$5:$B$84,0))),"")</f>
        <v/>
      </c>
      <c r="G160" s="30">
        <f>IFERROR(IF($C160="","",$D160*$F160),"")</f>
        <v/>
      </c>
      <c r="H160" s="28" t="n"/>
      <c r="I160" s="38">
        <f>IF($B160="","",SUMIFS(VENTAS!$D$5:$D$504,VENTAS!$B$5:$B$504,INICIO!$C$8,VENTAS!$C$5:$C$504,$B160))</f>
        <v/>
      </c>
      <c r="J160" s="38">
        <f>IF($C160="","",$D160*$I160)</f>
        <v/>
      </c>
    </row>
    <row r="161">
      <c r="A161" s="29" t="n"/>
      <c r="B161" s="28" t="n"/>
      <c r="C161" s="28" t="n"/>
      <c r="D161" s="36" t="n"/>
      <c r="E161" s="15">
        <f>IFERROR(IF($C161="","",INDEX(INSUMOS!$G$5:$G$84,MATCH($C161,INSUMOS!$B$5:$B$84,0))),"")</f>
        <v/>
      </c>
      <c r="F161" s="37">
        <f>IFERROR(IF($C161="","",INDEX(INSUMOS!$I$5:$I$84,MATCH($C161,INSUMOS!$B$5:$B$84,0))),"")</f>
        <v/>
      </c>
      <c r="G161" s="30">
        <f>IFERROR(IF($C161="","",$D161*$F161),"")</f>
        <v/>
      </c>
      <c r="H161" s="28" t="n"/>
      <c r="I161" s="38">
        <f>IF($B161="","",SUMIFS(VENTAS!$D$5:$D$504,VENTAS!$B$5:$B$504,INICIO!$C$8,VENTAS!$C$5:$C$504,$B161))</f>
        <v/>
      </c>
      <c r="J161" s="38">
        <f>IF($C161="","",$D161*$I161)</f>
        <v/>
      </c>
    </row>
    <row r="162">
      <c r="A162" s="29" t="n"/>
      <c r="B162" s="28" t="n"/>
      <c r="C162" s="28" t="n"/>
      <c r="D162" s="36" t="n"/>
      <c r="E162" s="15">
        <f>IFERROR(IF($C162="","",INDEX(INSUMOS!$G$5:$G$84,MATCH($C162,INSUMOS!$B$5:$B$84,0))),"")</f>
        <v/>
      </c>
      <c r="F162" s="37">
        <f>IFERROR(IF($C162="","",INDEX(INSUMOS!$I$5:$I$84,MATCH($C162,INSUMOS!$B$5:$B$84,0))),"")</f>
        <v/>
      </c>
      <c r="G162" s="30">
        <f>IFERROR(IF($C162="","",$D162*$F162),"")</f>
        <v/>
      </c>
      <c r="H162" s="28" t="n"/>
      <c r="I162" s="38">
        <f>IF($B162="","",SUMIFS(VENTAS!$D$5:$D$504,VENTAS!$B$5:$B$504,INICIO!$C$8,VENTAS!$C$5:$C$504,$B162))</f>
        <v/>
      </c>
      <c r="J162" s="38">
        <f>IF($C162="","",$D162*$I162)</f>
        <v/>
      </c>
    </row>
    <row r="163">
      <c r="A163" s="29" t="n"/>
      <c r="B163" s="28" t="n"/>
      <c r="C163" s="28" t="n"/>
      <c r="D163" s="36" t="n"/>
      <c r="E163" s="15">
        <f>IFERROR(IF($C163="","",INDEX(INSUMOS!$G$5:$G$84,MATCH($C163,INSUMOS!$B$5:$B$84,0))),"")</f>
        <v/>
      </c>
      <c r="F163" s="37">
        <f>IFERROR(IF($C163="","",INDEX(INSUMOS!$I$5:$I$84,MATCH($C163,INSUMOS!$B$5:$B$84,0))),"")</f>
        <v/>
      </c>
      <c r="G163" s="30">
        <f>IFERROR(IF($C163="","",$D163*$F163),"")</f>
        <v/>
      </c>
      <c r="H163" s="28" t="n"/>
      <c r="I163" s="38">
        <f>IF($B163="","",SUMIFS(VENTAS!$D$5:$D$504,VENTAS!$B$5:$B$504,INICIO!$C$8,VENTAS!$C$5:$C$504,$B163))</f>
        <v/>
      </c>
      <c r="J163" s="38">
        <f>IF($C163="","",$D163*$I163)</f>
        <v/>
      </c>
    </row>
    <row r="164">
      <c r="A164" s="29" t="n"/>
      <c r="B164" s="28" t="n"/>
      <c r="C164" s="28" t="n"/>
      <c r="D164" s="36" t="n"/>
      <c r="E164" s="15">
        <f>IFERROR(IF($C164="","",INDEX(INSUMOS!$G$5:$G$84,MATCH($C164,INSUMOS!$B$5:$B$84,0))),"")</f>
        <v/>
      </c>
      <c r="F164" s="37">
        <f>IFERROR(IF($C164="","",INDEX(INSUMOS!$I$5:$I$84,MATCH($C164,INSUMOS!$B$5:$B$84,0))),"")</f>
        <v/>
      </c>
      <c r="G164" s="30">
        <f>IFERROR(IF($C164="","",$D164*$F164),"")</f>
        <v/>
      </c>
      <c r="H164" s="28" t="n"/>
      <c r="I164" s="38">
        <f>IF($B164="","",SUMIFS(VENTAS!$D$5:$D$504,VENTAS!$B$5:$B$504,INICIO!$C$8,VENTAS!$C$5:$C$504,$B164))</f>
        <v/>
      </c>
      <c r="J164" s="38">
        <f>IF($C164="","",$D164*$I164)</f>
        <v/>
      </c>
    </row>
    <row r="165">
      <c r="A165" s="29" t="n"/>
      <c r="B165" s="28" t="n"/>
      <c r="C165" s="28" t="n"/>
      <c r="D165" s="36" t="n"/>
      <c r="E165" s="15">
        <f>IFERROR(IF($C165="","",INDEX(INSUMOS!$G$5:$G$84,MATCH($C165,INSUMOS!$B$5:$B$84,0))),"")</f>
        <v/>
      </c>
      <c r="F165" s="37">
        <f>IFERROR(IF($C165="","",INDEX(INSUMOS!$I$5:$I$84,MATCH($C165,INSUMOS!$B$5:$B$84,0))),"")</f>
        <v/>
      </c>
      <c r="G165" s="30">
        <f>IFERROR(IF($C165="","",$D165*$F165),"")</f>
        <v/>
      </c>
      <c r="H165" s="28" t="n"/>
      <c r="I165" s="38">
        <f>IF($B165="","",SUMIFS(VENTAS!$D$5:$D$504,VENTAS!$B$5:$B$504,INICIO!$C$8,VENTAS!$C$5:$C$504,$B165))</f>
        <v/>
      </c>
      <c r="J165" s="38">
        <f>IF($C165="","",$D165*$I165)</f>
        <v/>
      </c>
    </row>
    <row r="166">
      <c r="A166" s="29" t="n"/>
      <c r="B166" s="28" t="n"/>
      <c r="C166" s="28" t="n"/>
      <c r="D166" s="36" t="n"/>
      <c r="E166" s="15">
        <f>IFERROR(IF($C166="","",INDEX(INSUMOS!$G$5:$G$84,MATCH($C166,INSUMOS!$B$5:$B$84,0))),"")</f>
        <v/>
      </c>
      <c r="F166" s="37">
        <f>IFERROR(IF($C166="","",INDEX(INSUMOS!$I$5:$I$84,MATCH($C166,INSUMOS!$B$5:$B$84,0))),"")</f>
        <v/>
      </c>
      <c r="G166" s="30">
        <f>IFERROR(IF($C166="","",$D166*$F166),"")</f>
        <v/>
      </c>
      <c r="H166" s="28" t="n"/>
      <c r="I166" s="38">
        <f>IF($B166="","",SUMIFS(VENTAS!$D$5:$D$504,VENTAS!$B$5:$B$504,INICIO!$C$8,VENTAS!$C$5:$C$504,$B166))</f>
        <v/>
      </c>
      <c r="J166" s="38">
        <f>IF($C166="","",$D166*$I166)</f>
        <v/>
      </c>
    </row>
    <row r="167">
      <c r="A167" s="29" t="n"/>
      <c r="B167" s="28" t="n"/>
      <c r="C167" s="28" t="n"/>
      <c r="D167" s="36" t="n"/>
      <c r="E167" s="15">
        <f>IFERROR(IF($C167="","",INDEX(INSUMOS!$G$5:$G$84,MATCH($C167,INSUMOS!$B$5:$B$84,0))),"")</f>
        <v/>
      </c>
      <c r="F167" s="37">
        <f>IFERROR(IF($C167="","",INDEX(INSUMOS!$I$5:$I$84,MATCH($C167,INSUMOS!$B$5:$B$84,0))),"")</f>
        <v/>
      </c>
      <c r="G167" s="30">
        <f>IFERROR(IF($C167="","",$D167*$F167),"")</f>
        <v/>
      </c>
      <c r="H167" s="28" t="n"/>
      <c r="I167" s="38">
        <f>IF($B167="","",SUMIFS(VENTAS!$D$5:$D$504,VENTAS!$B$5:$B$504,INICIO!$C$8,VENTAS!$C$5:$C$504,$B167))</f>
        <v/>
      </c>
      <c r="J167" s="38">
        <f>IF($C167="","",$D167*$I167)</f>
        <v/>
      </c>
    </row>
    <row r="168">
      <c r="A168" s="29" t="n"/>
      <c r="B168" s="28" t="n"/>
      <c r="C168" s="28" t="n"/>
      <c r="D168" s="36" t="n"/>
      <c r="E168" s="15">
        <f>IFERROR(IF($C168="","",INDEX(INSUMOS!$G$5:$G$84,MATCH($C168,INSUMOS!$B$5:$B$84,0))),"")</f>
        <v/>
      </c>
      <c r="F168" s="37">
        <f>IFERROR(IF($C168="","",INDEX(INSUMOS!$I$5:$I$84,MATCH($C168,INSUMOS!$B$5:$B$84,0))),"")</f>
        <v/>
      </c>
      <c r="G168" s="30">
        <f>IFERROR(IF($C168="","",$D168*$F168),"")</f>
        <v/>
      </c>
      <c r="H168" s="28" t="n"/>
      <c r="I168" s="38">
        <f>IF($B168="","",SUMIFS(VENTAS!$D$5:$D$504,VENTAS!$B$5:$B$504,INICIO!$C$8,VENTAS!$C$5:$C$504,$B168))</f>
        <v/>
      </c>
      <c r="J168" s="38">
        <f>IF($C168="","",$D168*$I168)</f>
        <v/>
      </c>
    </row>
    <row r="169">
      <c r="A169" s="29" t="n"/>
      <c r="B169" s="28" t="n"/>
      <c r="C169" s="28" t="n"/>
      <c r="D169" s="36" t="n"/>
      <c r="E169" s="15">
        <f>IFERROR(IF($C169="","",INDEX(INSUMOS!$G$5:$G$84,MATCH($C169,INSUMOS!$B$5:$B$84,0))),"")</f>
        <v/>
      </c>
      <c r="F169" s="37">
        <f>IFERROR(IF($C169="","",INDEX(INSUMOS!$I$5:$I$84,MATCH($C169,INSUMOS!$B$5:$B$84,0))),"")</f>
        <v/>
      </c>
      <c r="G169" s="30">
        <f>IFERROR(IF($C169="","",$D169*$F169),"")</f>
        <v/>
      </c>
      <c r="H169" s="28" t="n"/>
      <c r="I169" s="38">
        <f>IF($B169="","",SUMIFS(VENTAS!$D$5:$D$504,VENTAS!$B$5:$B$504,INICIO!$C$8,VENTAS!$C$5:$C$504,$B169))</f>
        <v/>
      </c>
      <c r="J169" s="38">
        <f>IF($C169="","",$D169*$I169)</f>
        <v/>
      </c>
    </row>
    <row r="170">
      <c r="A170" s="29" t="n"/>
      <c r="B170" s="28" t="n"/>
      <c r="C170" s="28" t="n"/>
      <c r="D170" s="36" t="n"/>
      <c r="E170" s="15">
        <f>IFERROR(IF($C170="","",INDEX(INSUMOS!$G$5:$G$84,MATCH($C170,INSUMOS!$B$5:$B$84,0))),"")</f>
        <v/>
      </c>
      <c r="F170" s="37">
        <f>IFERROR(IF($C170="","",INDEX(INSUMOS!$I$5:$I$84,MATCH($C170,INSUMOS!$B$5:$B$84,0))),"")</f>
        <v/>
      </c>
      <c r="G170" s="30">
        <f>IFERROR(IF($C170="","",$D170*$F170),"")</f>
        <v/>
      </c>
      <c r="H170" s="28" t="n"/>
      <c r="I170" s="38">
        <f>IF($B170="","",SUMIFS(VENTAS!$D$5:$D$504,VENTAS!$B$5:$B$504,INICIO!$C$8,VENTAS!$C$5:$C$504,$B170))</f>
        <v/>
      </c>
      <c r="J170" s="38">
        <f>IF($C170="","",$D170*$I170)</f>
        <v/>
      </c>
    </row>
    <row r="171">
      <c r="A171" s="29" t="n"/>
      <c r="B171" s="28" t="n"/>
      <c r="C171" s="28" t="n"/>
      <c r="D171" s="36" t="n"/>
      <c r="E171" s="15">
        <f>IFERROR(IF($C171="","",INDEX(INSUMOS!$G$5:$G$84,MATCH($C171,INSUMOS!$B$5:$B$84,0))),"")</f>
        <v/>
      </c>
      <c r="F171" s="37">
        <f>IFERROR(IF($C171="","",INDEX(INSUMOS!$I$5:$I$84,MATCH($C171,INSUMOS!$B$5:$B$84,0))),"")</f>
        <v/>
      </c>
      <c r="G171" s="30">
        <f>IFERROR(IF($C171="","",$D171*$F171),"")</f>
        <v/>
      </c>
      <c r="H171" s="28" t="n"/>
      <c r="I171" s="38">
        <f>IF($B171="","",SUMIFS(VENTAS!$D$5:$D$504,VENTAS!$B$5:$B$504,INICIO!$C$8,VENTAS!$C$5:$C$504,$B171))</f>
        <v/>
      </c>
      <c r="J171" s="38">
        <f>IF($C171="","",$D171*$I171)</f>
        <v/>
      </c>
    </row>
    <row r="172">
      <c r="A172" s="29" t="n"/>
      <c r="B172" s="28" t="n"/>
      <c r="C172" s="28" t="n"/>
      <c r="D172" s="36" t="n"/>
      <c r="E172" s="15">
        <f>IFERROR(IF($C172="","",INDEX(INSUMOS!$G$5:$G$84,MATCH($C172,INSUMOS!$B$5:$B$84,0))),"")</f>
        <v/>
      </c>
      <c r="F172" s="37">
        <f>IFERROR(IF($C172="","",INDEX(INSUMOS!$I$5:$I$84,MATCH($C172,INSUMOS!$B$5:$B$84,0))),"")</f>
        <v/>
      </c>
      <c r="G172" s="30">
        <f>IFERROR(IF($C172="","",$D172*$F172),"")</f>
        <v/>
      </c>
      <c r="H172" s="28" t="n"/>
      <c r="I172" s="38">
        <f>IF($B172="","",SUMIFS(VENTAS!$D$5:$D$504,VENTAS!$B$5:$B$504,INICIO!$C$8,VENTAS!$C$5:$C$504,$B172))</f>
        <v/>
      </c>
      <c r="J172" s="38">
        <f>IF($C172="","",$D172*$I172)</f>
        <v/>
      </c>
    </row>
    <row r="173">
      <c r="A173" s="29" t="n"/>
      <c r="B173" s="28" t="n"/>
      <c r="C173" s="28" t="n"/>
      <c r="D173" s="36" t="n"/>
      <c r="E173" s="15">
        <f>IFERROR(IF($C173="","",INDEX(INSUMOS!$G$5:$G$84,MATCH($C173,INSUMOS!$B$5:$B$84,0))),"")</f>
        <v/>
      </c>
      <c r="F173" s="37">
        <f>IFERROR(IF($C173="","",INDEX(INSUMOS!$I$5:$I$84,MATCH($C173,INSUMOS!$B$5:$B$84,0))),"")</f>
        <v/>
      </c>
      <c r="G173" s="30">
        <f>IFERROR(IF($C173="","",$D173*$F173),"")</f>
        <v/>
      </c>
      <c r="H173" s="28" t="n"/>
      <c r="I173" s="38">
        <f>IF($B173="","",SUMIFS(VENTAS!$D$5:$D$504,VENTAS!$B$5:$B$504,INICIO!$C$8,VENTAS!$C$5:$C$504,$B173))</f>
        <v/>
      </c>
      <c r="J173" s="38">
        <f>IF($C173="","",$D173*$I173)</f>
        <v/>
      </c>
    </row>
    <row r="174">
      <c r="A174" s="29" t="n"/>
      <c r="B174" s="28" t="n"/>
      <c r="C174" s="28" t="n"/>
      <c r="D174" s="36" t="n"/>
      <c r="E174" s="15">
        <f>IFERROR(IF($C174="","",INDEX(INSUMOS!$G$5:$G$84,MATCH($C174,INSUMOS!$B$5:$B$84,0))),"")</f>
        <v/>
      </c>
      <c r="F174" s="37">
        <f>IFERROR(IF($C174="","",INDEX(INSUMOS!$I$5:$I$84,MATCH($C174,INSUMOS!$B$5:$B$84,0))),"")</f>
        <v/>
      </c>
      <c r="G174" s="30">
        <f>IFERROR(IF($C174="","",$D174*$F174),"")</f>
        <v/>
      </c>
      <c r="H174" s="28" t="n"/>
      <c r="I174" s="38">
        <f>IF($B174="","",SUMIFS(VENTAS!$D$5:$D$504,VENTAS!$B$5:$B$504,INICIO!$C$8,VENTAS!$C$5:$C$504,$B174))</f>
        <v/>
      </c>
      <c r="J174" s="38">
        <f>IF($C174="","",$D174*$I174)</f>
        <v/>
      </c>
    </row>
    <row r="175">
      <c r="A175" s="29" t="n"/>
      <c r="B175" s="28" t="n"/>
      <c r="C175" s="28" t="n"/>
      <c r="D175" s="36" t="n"/>
      <c r="E175" s="15">
        <f>IFERROR(IF($C175="","",INDEX(INSUMOS!$G$5:$G$84,MATCH($C175,INSUMOS!$B$5:$B$84,0))),"")</f>
        <v/>
      </c>
      <c r="F175" s="37">
        <f>IFERROR(IF($C175="","",INDEX(INSUMOS!$I$5:$I$84,MATCH($C175,INSUMOS!$B$5:$B$84,0))),"")</f>
        <v/>
      </c>
      <c r="G175" s="30">
        <f>IFERROR(IF($C175="","",$D175*$F175),"")</f>
        <v/>
      </c>
      <c r="H175" s="28" t="n"/>
      <c r="I175" s="38">
        <f>IF($B175="","",SUMIFS(VENTAS!$D$5:$D$504,VENTAS!$B$5:$B$504,INICIO!$C$8,VENTAS!$C$5:$C$504,$B175))</f>
        <v/>
      </c>
      <c r="J175" s="38">
        <f>IF($C175="","",$D175*$I175)</f>
        <v/>
      </c>
    </row>
    <row r="176">
      <c r="A176" s="29" t="n"/>
      <c r="B176" s="28" t="n"/>
      <c r="C176" s="28" t="n"/>
      <c r="D176" s="36" t="n"/>
      <c r="E176" s="15">
        <f>IFERROR(IF($C176="","",INDEX(INSUMOS!$G$5:$G$84,MATCH($C176,INSUMOS!$B$5:$B$84,0))),"")</f>
        <v/>
      </c>
      <c r="F176" s="37">
        <f>IFERROR(IF($C176="","",INDEX(INSUMOS!$I$5:$I$84,MATCH($C176,INSUMOS!$B$5:$B$84,0))),"")</f>
        <v/>
      </c>
      <c r="G176" s="30">
        <f>IFERROR(IF($C176="","",$D176*$F176),"")</f>
        <v/>
      </c>
      <c r="H176" s="28" t="n"/>
      <c r="I176" s="38">
        <f>IF($B176="","",SUMIFS(VENTAS!$D$5:$D$504,VENTAS!$B$5:$B$504,INICIO!$C$8,VENTAS!$C$5:$C$504,$B176))</f>
        <v/>
      </c>
      <c r="J176" s="38">
        <f>IF($C176="","",$D176*$I176)</f>
        <v/>
      </c>
    </row>
    <row r="177">
      <c r="A177" s="29" t="n"/>
      <c r="B177" s="28" t="n"/>
      <c r="C177" s="28" t="n"/>
      <c r="D177" s="36" t="n"/>
      <c r="E177" s="15">
        <f>IFERROR(IF($C177="","",INDEX(INSUMOS!$G$5:$G$84,MATCH($C177,INSUMOS!$B$5:$B$84,0))),"")</f>
        <v/>
      </c>
      <c r="F177" s="37">
        <f>IFERROR(IF($C177="","",INDEX(INSUMOS!$I$5:$I$84,MATCH($C177,INSUMOS!$B$5:$B$84,0))),"")</f>
        <v/>
      </c>
      <c r="G177" s="30">
        <f>IFERROR(IF($C177="","",$D177*$F177),"")</f>
        <v/>
      </c>
      <c r="H177" s="28" t="n"/>
      <c r="I177" s="38">
        <f>IF($B177="","",SUMIFS(VENTAS!$D$5:$D$504,VENTAS!$B$5:$B$504,INICIO!$C$8,VENTAS!$C$5:$C$504,$B177))</f>
        <v/>
      </c>
      <c r="J177" s="38">
        <f>IF($C177="","",$D177*$I177)</f>
        <v/>
      </c>
    </row>
    <row r="178">
      <c r="A178" s="29" t="n"/>
      <c r="B178" s="28" t="n"/>
      <c r="C178" s="28" t="n"/>
      <c r="D178" s="36" t="n"/>
      <c r="E178" s="15">
        <f>IFERROR(IF($C178="","",INDEX(INSUMOS!$G$5:$G$84,MATCH($C178,INSUMOS!$B$5:$B$84,0))),"")</f>
        <v/>
      </c>
      <c r="F178" s="37">
        <f>IFERROR(IF($C178="","",INDEX(INSUMOS!$I$5:$I$84,MATCH($C178,INSUMOS!$B$5:$B$84,0))),"")</f>
        <v/>
      </c>
      <c r="G178" s="30">
        <f>IFERROR(IF($C178="","",$D178*$F178),"")</f>
        <v/>
      </c>
      <c r="H178" s="28" t="n"/>
      <c r="I178" s="38">
        <f>IF($B178="","",SUMIFS(VENTAS!$D$5:$D$504,VENTAS!$B$5:$B$504,INICIO!$C$8,VENTAS!$C$5:$C$504,$B178))</f>
        <v/>
      </c>
      <c r="J178" s="38">
        <f>IF($C178="","",$D178*$I178)</f>
        <v/>
      </c>
    </row>
    <row r="179">
      <c r="A179" s="29" t="n"/>
      <c r="B179" s="28" t="n"/>
      <c r="C179" s="28" t="n"/>
      <c r="D179" s="36" t="n"/>
      <c r="E179" s="15">
        <f>IFERROR(IF($C179="","",INDEX(INSUMOS!$G$5:$G$84,MATCH($C179,INSUMOS!$B$5:$B$84,0))),"")</f>
        <v/>
      </c>
      <c r="F179" s="37">
        <f>IFERROR(IF($C179="","",INDEX(INSUMOS!$I$5:$I$84,MATCH($C179,INSUMOS!$B$5:$B$84,0))),"")</f>
        <v/>
      </c>
      <c r="G179" s="30">
        <f>IFERROR(IF($C179="","",$D179*$F179),"")</f>
        <v/>
      </c>
      <c r="H179" s="28" t="n"/>
      <c r="I179" s="38">
        <f>IF($B179="","",SUMIFS(VENTAS!$D$5:$D$504,VENTAS!$B$5:$B$504,INICIO!$C$8,VENTAS!$C$5:$C$504,$B179))</f>
        <v/>
      </c>
      <c r="J179" s="38">
        <f>IF($C179="","",$D179*$I179)</f>
        <v/>
      </c>
    </row>
    <row r="180">
      <c r="A180" s="29" t="n"/>
      <c r="B180" s="28" t="n"/>
      <c r="C180" s="28" t="n"/>
      <c r="D180" s="36" t="n"/>
      <c r="E180" s="15">
        <f>IFERROR(IF($C180="","",INDEX(INSUMOS!$G$5:$G$84,MATCH($C180,INSUMOS!$B$5:$B$84,0))),"")</f>
        <v/>
      </c>
      <c r="F180" s="37">
        <f>IFERROR(IF($C180="","",INDEX(INSUMOS!$I$5:$I$84,MATCH($C180,INSUMOS!$B$5:$B$84,0))),"")</f>
        <v/>
      </c>
      <c r="G180" s="30">
        <f>IFERROR(IF($C180="","",$D180*$F180),"")</f>
        <v/>
      </c>
      <c r="H180" s="28" t="n"/>
      <c r="I180" s="38">
        <f>IF($B180="","",SUMIFS(VENTAS!$D$5:$D$504,VENTAS!$B$5:$B$504,INICIO!$C$8,VENTAS!$C$5:$C$504,$B180))</f>
        <v/>
      </c>
      <c r="J180" s="38">
        <f>IF($C180="","",$D180*$I180)</f>
        <v/>
      </c>
    </row>
    <row r="181">
      <c r="A181" s="29" t="n"/>
      <c r="B181" s="28" t="n"/>
      <c r="C181" s="28" t="n"/>
      <c r="D181" s="36" t="n"/>
      <c r="E181" s="15">
        <f>IFERROR(IF($C181="","",INDEX(INSUMOS!$G$5:$G$84,MATCH($C181,INSUMOS!$B$5:$B$84,0))),"")</f>
        <v/>
      </c>
      <c r="F181" s="37">
        <f>IFERROR(IF($C181="","",INDEX(INSUMOS!$I$5:$I$84,MATCH($C181,INSUMOS!$B$5:$B$84,0))),"")</f>
        <v/>
      </c>
      <c r="G181" s="30">
        <f>IFERROR(IF($C181="","",$D181*$F181),"")</f>
        <v/>
      </c>
      <c r="H181" s="28" t="n"/>
      <c r="I181" s="38">
        <f>IF($B181="","",SUMIFS(VENTAS!$D$5:$D$504,VENTAS!$B$5:$B$504,INICIO!$C$8,VENTAS!$C$5:$C$504,$B181))</f>
        <v/>
      </c>
      <c r="J181" s="38">
        <f>IF($C181="","",$D181*$I181)</f>
        <v/>
      </c>
    </row>
    <row r="182">
      <c r="A182" s="29" t="n"/>
      <c r="B182" s="28" t="n"/>
      <c r="C182" s="28" t="n"/>
      <c r="D182" s="36" t="n"/>
      <c r="E182" s="15">
        <f>IFERROR(IF($C182="","",INDEX(INSUMOS!$G$5:$G$84,MATCH($C182,INSUMOS!$B$5:$B$84,0))),"")</f>
        <v/>
      </c>
      <c r="F182" s="37">
        <f>IFERROR(IF($C182="","",INDEX(INSUMOS!$I$5:$I$84,MATCH($C182,INSUMOS!$B$5:$B$84,0))),"")</f>
        <v/>
      </c>
      <c r="G182" s="30">
        <f>IFERROR(IF($C182="","",$D182*$F182),"")</f>
        <v/>
      </c>
      <c r="H182" s="28" t="n"/>
      <c r="I182" s="38">
        <f>IF($B182="","",SUMIFS(VENTAS!$D$5:$D$504,VENTAS!$B$5:$B$504,INICIO!$C$8,VENTAS!$C$5:$C$504,$B182))</f>
        <v/>
      </c>
      <c r="J182" s="38">
        <f>IF($C182="","",$D182*$I182)</f>
        <v/>
      </c>
    </row>
    <row r="183">
      <c r="A183" s="29" t="n"/>
      <c r="B183" s="28" t="n"/>
      <c r="C183" s="28" t="n"/>
      <c r="D183" s="36" t="n"/>
      <c r="E183" s="15">
        <f>IFERROR(IF($C183="","",INDEX(INSUMOS!$G$5:$G$84,MATCH($C183,INSUMOS!$B$5:$B$84,0))),"")</f>
        <v/>
      </c>
      <c r="F183" s="37">
        <f>IFERROR(IF($C183="","",INDEX(INSUMOS!$I$5:$I$84,MATCH($C183,INSUMOS!$B$5:$B$84,0))),"")</f>
        <v/>
      </c>
      <c r="G183" s="30">
        <f>IFERROR(IF($C183="","",$D183*$F183),"")</f>
        <v/>
      </c>
      <c r="H183" s="28" t="n"/>
      <c r="I183" s="38">
        <f>IF($B183="","",SUMIFS(VENTAS!$D$5:$D$504,VENTAS!$B$5:$B$504,INICIO!$C$8,VENTAS!$C$5:$C$504,$B183))</f>
        <v/>
      </c>
      <c r="J183" s="38">
        <f>IF($C183="","",$D183*$I183)</f>
        <v/>
      </c>
    </row>
    <row r="184">
      <c r="A184" s="29" t="n"/>
      <c r="B184" s="28" t="n"/>
      <c r="C184" s="28" t="n"/>
      <c r="D184" s="36" t="n"/>
      <c r="E184" s="15">
        <f>IFERROR(IF($C184="","",INDEX(INSUMOS!$G$5:$G$84,MATCH($C184,INSUMOS!$B$5:$B$84,0))),"")</f>
        <v/>
      </c>
      <c r="F184" s="37">
        <f>IFERROR(IF($C184="","",INDEX(INSUMOS!$I$5:$I$84,MATCH($C184,INSUMOS!$B$5:$B$84,0))),"")</f>
        <v/>
      </c>
      <c r="G184" s="30">
        <f>IFERROR(IF($C184="","",$D184*$F184),"")</f>
        <v/>
      </c>
      <c r="H184" s="28" t="n"/>
      <c r="I184" s="38">
        <f>IF($B184="","",SUMIFS(VENTAS!$D$5:$D$504,VENTAS!$B$5:$B$504,INICIO!$C$8,VENTAS!$C$5:$C$504,$B184))</f>
        <v/>
      </c>
      <c r="J184" s="38">
        <f>IF($C184="","",$D184*$I184)</f>
        <v/>
      </c>
    </row>
    <row r="185">
      <c r="A185" s="29" t="n"/>
      <c r="B185" s="28" t="n"/>
      <c r="C185" s="28" t="n"/>
      <c r="D185" s="36" t="n"/>
      <c r="E185" s="15">
        <f>IFERROR(IF($C185="","",INDEX(INSUMOS!$G$5:$G$84,MATCH($C185,INSUMOS!$B$5:$B$84,0))),"")</f>
        <v/>
      </c>
      <c r="F185" s="37">
        <f>IFERROR(IF($C185="","",INDEX(INSUMOS!$I$5:$I$84,MATCH($C185,INSUMOS!$B$5:$B$84,0))),"")</f>
        <v/>
      </c>
      <c r="G185" s="30">
        <f>IFERROR(IF($C185="","",$D185*$F185),"")</f>
        <v/>
      </c>
      <c r="H185" s="28" t="n"/>
      <c r="I185" s="38">
        <f>IF($B185="","",SUMIFS(VENTAS!$D$5:$D$504,VENTAS!$B$5:$B$504,INICIO!$C$8,VENTAS!$C$5:$C$504,$B185))</f>
        <v/>
      </c>
      <c r="J185" s="38">
        <f>IF($C185="","",$D185*$I185)</f>
        <v/>
      </c>
    </row>
    <row r="186">
      <c r="A186" s="29" t="n"/>
      <c r="B186" s="28" t="n"/>
      <c r="C186" s="28" t="n"/>
      <c r="D186" s="36" t="n"/>
      <c r="E186" s="15">
        <f>IFERROR(IF($C186="","",INDEX(INSUMOS!$G$5:$G$84,MATCH($C186,INSUMOS!$B$5:$B$84,0))),"")</f>
        <v/>
      </c>
      <c r="F186" s="37">
        <f>IFERROR(IF($C186="","",INDEX(INSUMOS!$I$5:$I$84,MATCH($C186,INSUMOS!$B$5:$B$84,0))),"")</f>
        <v/>
      </c>
      <c r="G186" s="30">
        <f>IFERROR(IF($C186="","",$D186*$F186),"")</f>
        <v/>
      </c>
      <c r="H186" s="28" t="n"/>
      <c r="I186" s="38">
        <f>IF($B186="","",SUMIFS(VENTAS!$D$5:$D$504,VENTAS!$B$5:$B$504,INICIO!$C$8,VENTAS!$C$5:$C$504,$B186))</f>
        <v/>
      </c>
      <c r="J186" s="38">
        <f>IF($C186="","",$D186*$I186)</f>
        <v/>
      </c>
    </row>
    <row r="187">
      <c r="A187" s="29" t="n"/>
      <c r="B187" s="28" t="n"/>
      <c r="C187" s="28" t="n"/>
      <c r="D187" s="36" t="n"/>
      <c r="E187" s="15">
        <f>IFERROR(IF($C187="","",INDEX(INSUMOS!$G$5:$G$84,MATCH($C187,INSUMOS!$B$5:$B$84,0))),"")</f>
        <v/>
      </c>
      <c r="F187" s="37">
        <f>IFERROR(IF($C187="","",INDEX(INSUMOS!$I$5:$I$84,MATCH($C187,INSUMOS!$B$5:$B$84,0))),"")</f>
        <v/>
      </c>
      <c r="G187" s="30">
        <f>IFERROR(IF($C187="","",$D187*$F187),"")</f>
        <v/>
      </c>
      <c r="H187" s="28" t="n"/>
      <c r="I187" s="38">
        <f>IF($B187="","",SUMIFS(VENTAS!$D$5:$D$504,VENTAS!$B$5:$B$504,INICIO!$C$8,VENTAS!$C$5:$C$504,$B187))</f>
        <v/>
      </c>
      <c r="J187" s="38">
        <f>IF($C187="","",$D187*$I187)</f>
        <v/>
      </c>
    </row>
    <row r="188">
      <c r="A188" s="29" t="n"/>
      <c r="B188" s="28" t="n"/>
      <c r="C188" s="28" t="n"/>
      <c r="D188" s="36" t="n"/>
      <c r="E188" s="15">
        <f>IFERROR(IF($C188="","",INDEX(INSUMOS!$G$5:$G$84,MATCH($C188,INSUMOS!$B$5:$B$84,0))),"")</f>
        <v/>
      </c>
      <c r="F188" s="37">
        <f>IFERROR(IF($C188="","",INDEX(INSUMOS!$I$5:$I$84,MATCH($C188,INSUMOS!$B$5:$B$84,0))),"")</f>
        <v/>
      </c>
      <c r="G188" s="30">
        <f>IFERROR(IF($C188="","",$D188*$F188),"")</f>
        <v/>
      </c>
      <c r="H188" s="28" t="n"/>
      <c r="I188" s="38">
        <f>IF($B188="","",SUMIFS(VENTAS!$D$5:$D$504,VENTAS!$B$5:$B$504,INICIO!$C$8,VENTAS!$C$5:$C$504,$B188))</f>
        <v/>
      </c>
      <c r="J188" s="38">
        <f>IF($C188="","",$D188*$I188)</f>
        <v/>
      </c>
    </row>
    <row r="189">
      <c r="A189" s="29" t="n"/>
      <c r="B189" s="28" t="n"/>
      <c r="C189" s="28" t="n"/>
      <c r="D189" s="36" t="n"/>
      <c r="E189" s="15">
        <f>IFERROR(IF($C189="","",INDEX(INSUMOS!$G$5:$G$84,MATCH($C189,INSUMOS!$B$5:$B$84,0))),"")</f>
        <v/>
      </c>
      <c r="F189" s="37">
        <f>IFERROR(IF($C189="","",INDEX(INSUMOS!$I$5:$I$84,MATCH($C189,INSUMOS!$B$5:$B$84,0))),"")</f>
        <v/>
      </c>
      <c r="G189" s="30">
        <f>IFERROR(IF($C189="","",$D189*$F189),"")</f>
        <v/>
      </c>
      <c r="H189" s="28" t="n"/>
      <c r="I189" s="38">
        <f>IF($B189="","",SUMIFS(VENTAS!$D$5:$D$504,VENTAS!$B$5:$B$504,INICIO!$C$8,VENTAS!$C$5:$C$504,$B189))</f>
        <v/>
      </c>
      <c r="J189" s="38">
        <f>IF($C189="","",$D189*$I189)</f>
        <v/>
      </c>
    </row>
    <row r="190">
      <c r="A190" s="29" t="n"/>
      <c r="B190" s="28" t="n"/>
      <c r="C190" s="28" t="n"/>
      <c r="D190" s="36" t="n"/>
      <c r="E190" s="15">
        <f>IFERROR(IF($C190="","",INDEX(INSUMOS!$G$5:$G$84,MATCH($C190,INSUMOS!$B$5:$B$84,0))),"")</f>
        <v/>
      </c>
      <c r="F190" s="37">
        <f>IFERROR(IF($C190="","",INDEX(INSUMOS!$I$5:$I$84,MATCH($C190,INSUMOS!$B$5:$B$84,0))),"")</f>
        <v/>
      </c>
      <c r="G190" s="30">
        <f>IFERROR(IF($C190="","",$D190*$F190),"")</f>
        <v/>
      </c>
      <c r="H190" s="28" t="n"/>
      <c r="I190" s="38">
        <f>IF($B190="","",SUMIFS(VENTAS!$D$5:$D$504,VENTAS!$B$5:$B$504,INICIO!$C$8,VENTAS!$C$5:$C$504,$B190))</f>
        <v/>
      </c>
      <c r="J190" s="38">
        <f>IF($C190="","",$D190*$I190)</f>
        <v/>
      </c>
    </row>
    <row r="191">
      <c r="A191" s="29" t="n"/>
      <c r="B191" s="28" t="n"/>
      <c r="C191" s="28" t="n"/>
      <c r="D191" s="36" t="n"/>
      <c r="E191" s="15">
        <f>IFERROR(IF($C191="","",INDEX(INSUMOS!$G$5:$G$84,MATCH($C191,INSUMOS!$B$5:$B$84,0))),"")</f>
        <v/>
      </c>
      <c r="F191" s="37">
        <f>IFERROR(IF($C191="","",INDEX(INSUMOS!$I$5:$I$84,MATCH($C191,INSUMOS!$B$5:$B$84,0))),"")</f>
        <v/>
      </c>
      <c r="G191" s="30">
        <f>IFERROR(IF($C191="","",$D191*$F191),"")</f>
        <v/>
      </c>
      <c r="H191" s="28" t="n"/>
      <c r="I191" s="38">
        <f>IF($B191="","",SUMIFS(VENTAS!$D$5:$D$504,VENTAS!$B$5:$B$504,INICIO!$C$8,VENTAS!$C$5:$C$504,$B191))</f>
        <v/>
      </c>
      <c r="J191" s="38">
        <f>IF($C191="","",$D191*$I191)</f>
        <v/>
      </c>
    </row>
    <row r="192">
      <c r="A192" s="29" t="n"/>
      <c r="B192" s="28" t="n"/>
      <c r="C192" s="28" t="n"/>
      <c r="D192" s="36" t="n"/>
      <c r="E192" s="15">
        <f>IFERROR(IF($C192="","",INDEX(INSUMOS!$G$5:$G$84,MATCH($C192,INSUMOS!$B$5:$B$84,0))),"")</f>
        <v/>
      </c>
      <c r="F192" s="37">
        <f>IFERROR(IF($C192="","",INDEX(INSUMOS!$I$5:$I$84,MATCH($C192,INSUMOS!$B$5:$B$84,0))),"")</f>
        <v/>
      </c>
      <c r="G192" s="30">
        <f>IFERROR(IF($C192="","",$D192*$F192),"")</f>
        <v/>
      </c>
      <c r="H192" s="28" t="n"/>
      <c r="I192" s="38">
        <f>IF($B192="","",SUMIFS(VENTAS!$D$5:$D$504,VENTAS!$B$5:$B$504,INICIO!$C$8,VENTAS!$C$5:$C$504,$B192))</f>
        <v/>
      </c>
      <c r="J192" s="38">
        <f>IF($C192="","",$D192*$I192)</f>
        <v/>
      </c>
    </row>
    <row r="193">
      <c r="A193" s="29" t="n"/>
      <c r="B193" s="28" t="n"/>
      <c r="C193" s="28" t="n"/>
      <c r="D193" s="36" t="n"/>
      <c r="E193" s="15">
        <f>IFERROR(IF($C193="","",INDEX(INSUMOS!$G$5:$G$84,MATCH($C193,INSUMOS!$B$5:$B$84,0))),"")</f>
        <v/>
      </c>
      <c r="F193" s="37">
        <f>IFERROR(IF($C193="","",INDEX(INSUMOS!$I$5:$I$84,MATCH($C193,INSUMOS!$B$5:$B$84,0))),"")</f>
        <v/>
      </c>
      <c r="G193" s="30">
        <f>IFERROR(IF($C193="","",$D193*$F193),"")</f>
        <v/>
      </c>
      <c r="H193" s="28" t="n"/>
      <c r="I193" s="38">
        <f>IF($B193="","",SUMIFS(VENTAS!$D$5:$D$504,VENTAS!$B$5:$B$504,INICIO!$C$8,VENTAS!$C$5:$C$504,$B193))</f>
        <v/>
      </c>
      <c r="J193" s="38">
        <f>IF($C193="","",$D193*$I193)</f>
        <v/>
      </c>
    </row>
    <row r="194">
      <c r="A194" s="29" t="n"/>
      <c r="B194" s="28" t="n"/>
      <c r="C194" s="28" t="n"/>
      <c r="D194" s="36" t="n"/>
      <c r="E194" s="15">
        <f>IFERROR(IF($C194="","",INDEX(INSUMOS!$G$5:$G$84,MATCH($C194,INSUMOS!$B$5:$B$84,0))),"")</f>
        <v/>
      </c>
      <c r="F194" s="37">
        <f>IFERROR(IF($C194="","",INDEX(INSUMOS!$I$5:$I$84,MATCH($C194,INSUMOS!$B$5:$B$84,0))),"")</f>
        <v/>
      </c>
      <c r="G194" s="30">
        <f>IFERROR(IF($C194="","",$D194*$F194),"")</f>
        <v/>
      </c>
      <c r="H194" s="28" t="n"/>
      <c r="I194" s="38">
        <f>IF($B194="","",SUMIFS(VENTAS!$D$5:$D$504,VENTAS!$B$5:$B$504,INICIO!$C$8,VENTAS!$C$5:$C$504,$B194))</f>
        <v/>
      </c>
      <c r="J194" s="38">
        <f>IF($C194="","",$D194*$I194)</f>
        <v/>
      </c>
    </row>
    <row r="195">
      <c r="A195" s="29" t="n"/>
      <c r="B195" s="28" t="n"/>
      <c r="C195" s="28" t="n"/>
      <c r="D195" s="36" t="n"/>
      <c r="E195" s="15">
        <f>IFERROR(IF($C195="","",INDEX(INSUMOS!$G$5:$G$84,MATCH($C195,INSUMOS!$B$5:$B$84,0))),"")</f>
        <v/>
      </c>
      <c r="F195" s="37">
        <f>IFERROR(IF($C195="","",INDEX(INSUMOS!$I$5:$I$84,MATCH($C195,INSUMOS!$B$5:$B$84,0))),"")</f>
        <v/>
      </c>
      <c r="G195" s="30">
        <f>IFERROR(IF($C195="","",$D195*$F195),"")</f>
        <v/>
      </c>
      <c r="H195" s="28" t="n"/>
      <c r="I195" s="38">
        <f>IF($B195="","",SUMIFS(VENTAS!$D$5:$D$504,VENTAS!$B$5:$B$504,INICIO!$C$8,VENTAS!$C$5:$C$504,$B195))</f>
        <v/>
      </c>
      <c r="J195" s="38">
        <f>IF($C195="","",$D195*$I195)</f>
        <v/>
      </c>
    </row>
    <row r="196">
      <c r="A196" s="29" t="n"/>
      <c r="B196" s="28" t="n"/>
      <c r="C196" s="28" t="n"/>
      <c r="D196" s="36" t="n"/>
      <c r="E196" s="15">
        <f>IFERROR(IF($C196="","",INDEX(INSUMOS!$G$5:$G$84,MATCH($C196,INSUMOS!$B$5:$B$84,0))),"")</f>
        <v/>
      </c>
      <c r="F196" s="37">
        <f>IFERROR(IF($C196="","",INDEX(INSUMOS!$I$5:$I$84,MATCH($C196,INSUMOS!$B$5:$B$84,0))),"")</f>
        <v/>
      </c>
      <c r="G196" s="30">
        <f>IFERROR(IF($C196="","",$D196*$F196),"")</f>
        <v/>
      </c>
      <c r="H196" s="28" t="n"/>
      <c r="I196" s="38">
        <f>IF($B196="","",SUMIFS(VENTAS!$D$5:$D$504,VENTAS!$B$5:$B$504,INICIO!$C$8,VENTAS!$C$5:$C$504,$B196))</f>
        <v/>
      </c>
      <c r="J196" s="38">
        <f>IF($C196="","",$D196*$I196)</f>
        <v/>
      </c>
    </row>
    <row r="197">
      <c r="A197" s="29" t="n"/>
      <c r="B197" s="28" t="n"/>
      <c r="C197" s="28" t="n"/>
      <c r="D197" s="36" t="n"/>
      <c r="E197" s="15">
        <f>IFERROR(IF($C197="","",INDEX(INSUMOS!$G$5:$G$84,MATCH($C197,INSUMOS!$B$5:$B$84,0))),"")</f>
        <v/>
      </c>
      <c r="F197" s="37">
        <f>IFERROR(IF($C197="","",INDEX(INSUMOS!$I$5:$I$84,MATCH($C197,INSUMOS!$B$5:$B$84,0))),"")</f>
        <v/>
      </c>
      <c r="G197" s="30">
        <f>IFERROR(IF($C197="","",$D197*$F197),"")</f>
        <v/>
      </c>
      <c r="H197" s="28" t="n"/>
      <c r="I197" s="38">
        <f>IF($B197="","",SUMIFS(VENTAS!$D$5:$D$504,VENTAS!$B$5:$B$504,INICIO!$C$8,VENTAS!$C$5:$C$504,$B197))</f>
        <v/>
      </c>
      <c r="J197" s="38">
        <f>IF($C197="","",$D197*$I197)</f>
        <v/>
      </c>
    </row>
    <row r="198">
      <c r="A198" s="29" t="n"/>
      <c r="B198" s="28" t="n"/>
      <c r="C198" s="28" t="n"/>
      <c r="D198" s="36" t="n"/>
      <c r="E198" s="15">
        <f>IFERROR(IF($C198="","",INDEX(INSUMOS!$G$5:$G$84,MATCH($C198,INSUMOS!$B$5:$B$84,0))),"")</f>
        <v/>
      </c>
      <c r="F198" s="37">
        <f>IFERROR(IF($C198="","",INDEX(INSUMOS!$I$5:$I$84,MATCH($C198,INSUMOS!$B$5:$B$84,0))),"")</f>
        <v/>
      </c>
      <c r="G198" s="30">
        <f>IFERROR(IF($C198="","",$D198*$F198),"")</f>
        <v/>
      </c>
      <c r="H198" s="28" t="n"/>
      <c r="I198" s="38">
        <f>IF($B198="","",SUMIFS(VENTAS!$D$5:$D$504,VENTAS!$B$5:$B$504,INICIO!$C$8,VENTAS!$C$5:$C$504,$B198))</f>
        <v/>
      </c>
      <c r="J198" s="38">
        <f>IF($C198="","",$D198*$I198)</f>
        <v/>
      </c>
    </row>
    <row r="199">
      <c r="A199" s="29" t="n"/>
      <c r="B199" s="28" t="n"/>
      <c r="C199" s="28" t="n"/>
      <c r="D199" s="36" t="n"/>
      <c r="E199" s="15">
        <f>IFERROR(IF($C199="","",INDEX(INSUMOS!$G$5:$G$84,MATCH($C199,INSUMOS!$B$5:$B$84,0))),"")</f>
        <v/>
      </c>
      <c r="F199" s="37">
        <f>IFERROR(IF($C199="","",INDEX(INSUMOS!$I$5:$I$84,MATCH($C199,INSUMOS!$B$5:$B$84,0))),"")</f>
        <v/>
      </c>
      <c r="G199" s="30">
        <f>IFERROR(IF($C199="","",$D199*$F199),"")</f>
        <v/>
      </c>
      <c r="H199" s="28" t="n"/>
      <c r="I199" s="38">
        <f>IF($B199="","",SUMIFS(VENTAS!$D$5:$D$504,VENTAS!$B$5:$B$504,INICIO!$C$8,VENTAS!$C$5:$C$504,$B199))</f>
        <v/>
      </c>
      <c r="J199" s="38">
        <f>IF($C199="","",$D199*$I199)</f>
        <v/>
      </c>
    </row>
    <row r="200">
      <c r="A200" s="29" t="n"/>
      <c r="B200" s="28" t="n"/>
      <c r="C200" s="28" t="n"/>
      <c r="D200" s="36" t="n"/>
      <c r="E200" s="15">
        <f>IFERROR(IF($C200="","",INDEX(INSUMOS!$G$5:$G$84,MATCH($C200,INSUMOS!$B$5:$B$84,0))),"")</f>
        <v/>
      </c>
      <c r="F200" s="37">
        <f>IFERROR(IF($C200="","",INDEX(INSUMOS!$I$5:$I$84,MATCH($C200,INSUMOS!$B$5:$B$84,0))),"")</f>
        <v/>
      </c>
      <c r="G200" s="30">
        <f>IFERROR(IF($C200="","",$D200*$F200),"")</f>
        <v/>
      </c>
      <c r="H200" s="28" t="n"/>
      <c r="I200" s="38">
        <f>IF($B200="","",SUMIFS(VENTAS!$D$5:$D$504,VENTAS!$B$5:$B$504,INICIO!$C$8,VENTAS!$C$5:$C$504,$B200))</f>
        <v/>
      </c>
      <c r="J200" s="38">
        <f>IF($C200="","",$D200*$I200)</f>
        <v/>
      </c>
    </row>
    <row r="201">
      <c r="A201" s="29" t="n"/>
      <c r="B201" s="28" t="n"/>
      <c r="C201" s="28" t="n"/>
      <c r="D201" s="36" t="n"/>
      <c r="E201" s="15">
        <f>IFERROR(IF($C201="","",INDEX(INSUMOS!$G$5:$G$84,MATCH($C201,INSUMOS!$B$5:$B$84,0))),"")</f>
        <v/>
      </c>
      <c r="F201" s="37">
        <f>IFERROR(IF($C201="","",INDEX(INSUMOS!$I$5:$I$84,MATCH($C201,INSUMOS!$B$5:$B$84,0))),"")</f>
        <v/>
      </c>
      <c r="G201" s="30">
        <f>IFERROR(IF($C201="","",$D201*$F201),"")</f>
        <v/>
      </c>
      <c r="H201" s="28" t="n"/>
      <c r="I201" s="38">
        <f>IF($B201="","",SUMIFS(VENTAS!$D$5:$D$504,VENTAS!$B$5:$B$504,INICIO!$C$8,VENTAS!$C$5:$C$504,$B201))</f>
        <v/>
      </c>
      <c r="J201" s="38">
        <f>IF($C201="","",$D201*$I201)</f>
        <v/>
      </c>
    </row>
    <row r="202">
      <c r="A202" s="29" t="n"/>
      <c r="B202" s="28" t="n"/>
      <c r="C202" s="28" t="n"/>
      <c r="D202" s="36" t="n"/>
      <c r="E202" s="15">
        <f>IFERROR(IF($C202="","",INDEX(INSUMOS!$G$5:$G$84,MATCH($C202,INSUMOS!$B$5:$B$84,0))),"")</f>
        <v/>
      </c>
      <c r="F202" s="37">
        <f>IFERROR(IF($C202="","",INDEX(INSUMOS!$I$5:$I$84,MATCH($C202,INSUMOS!$B$5:$B$84,0))),"")</f>
        <v/>
      </c>
      <c r="G202" s="30">
        <f>IFERROR(IF($C202="","",$D202*$F202),"")</f>
        <v/>
      </c>
      <c r="H202" s="28" t="n"/>
      <c r="I202" s="38">
        <f>IF($B202="","",SUMIFS(VENTAS!$D$5:$D$504,VENTAS!$B$5:$B$504,INICIO!$C$8,VENTAS!$C$5:$C$504,$B202))</f>
        <v/>
      </c>
      <c r="J202" s="38">
        <f>IF($C202="","",$D202*$I202)</f>
        <v/>
      </c>
    </row>
    <row r="203">
      <c r="A203" s="29" t="n"/>
      <c r="B203" s="28" t="n"/>
      <c r="C203" s="28" t="n"/>
      <c r="D203" s="36" t="n"/>
      <c r="E203" s="15">
        <f>IFERROR(IF($C203="","",INDEX(INSUMOS!$G$5:$G$84,MATCH($C203,INSUMOS!$B$5:$B$84,0))),"")</f>
        <v/>
      </c>
      <c r="F203" s="37">
        <f>IFERROR(IF($C203="","",INDEX(INSUMOS!$I$5:$I$84,MATCH($C203,INSUMOS!$B$5:$B$84,0))),"")</f>
        <v/>
      </c>
      <c r="G203" s="30">
        <f>IFERROR(IF($C203="","",$D203*$F203),"")</f>
        <v/>
      </c>
      <c r="H203" s="28" t="n"/>
      <c r="I203" s="38">
        <f>IF($B203="","",SUMIFS(VENTAS!$D$5:$D$504,VENTAS!$B$5:$B$504,INICIO!$C$8,VENTAS!$C$5:$C$504,$B203))</f>
        <v/>
      </c>
      <c r="J203" s="38">
        <f>IF($C203="","",$D203*$I203)</f>
        <v/>
      </c>
    </row>
    <row r="204">
      <c r="A204" s="29" t="n"/>
      <c r="B204" s="28" t="n"/>
      <c r="C204" s="28" t="n"/>
      <c r="D204" s="36" t="n"/>
      <c r="E204" s="15">
        <f>IFERROR(IF($C204="","",INDEX(INSUMOS!$G$5:$G$84,MATCH($C204,INSUMOS!$B$5:$B$84,0))),"")</f>
        <v/>
      </c>
      <c r="F204" s="37">
        <f>IFERROR(IF($C204="","",INDEX(INSUMOS!$I$5:$I$84,MATCH($C204,INSUMOS!$B$5:$B$84,0))),"")</f>
        <v/>
      </c>
      <c r="G204" s="30">
        <f>IFERROR(IF($C204="","",$D204*$F204),"")</f>
        <v/>
      </c>
      <c r="H204" s="28" t="n"/>
      <c r="I204" s="38">
        <f>IF($B204="","",SUMIFS(VENTAS!$D$5:$D$504,VENTAS!$B$5:$B$504,INICIO!$C$8,VENTAS!$C$5:$C$504,$B204))</f>
        <v/>
      </c>
      <c r="J204" s="38">
        <f>IF($C204="","",$D204*$I204)</f>
        <v/>
      </c>
    </row>
    <row r="205">
      <c r="A205" s="29" t="n"/>
      <c r="B205" s="28" t="n"/>
      <c r="C205" s="28" t="n"/>
      <c r="D205" s="36" t="n"/>
      <c r="E205" s="15">
        <f>IFERROR(IF($C205="","",INDEX(INSUMOS!$G$5:$G$84,MATCH($C205,INSUMOS!$B$5:$B$84,0))),"")</f>
        <v/>
      </c>
      <c r="F205" s="37">
        <f>IFERROR(IF($C205="","",INDEX(INSUMOS!$I$5:$I$84,MATCH($C205,INSUMOS!$B$5:$B$84,0))),"")</f>
        <v/>
      </c>
      <c r="G205" s="30">
        <f>IFERROR(IF($C205="","",$D205*$F205),"")</f>
        <v/>
      </c>
      <c r="H205" s="28" t="n"/>
      <c r="I205" s="38">
        <f>IF($B205="","",SUMIFS(VENTAS!$D$5:$D$504,VENTAS!$B$5:$B$504,INICIO!$C$8,VENTAS!$C$5:$C$504,$B205))</f>
        <v/>
      </c>
      <c r="J205" s="38">
        <f>IF($C205="","",$D205*$I205)</f>
        <v/>
      </c>
    </row>
    <row r="206">
      <c r="A206" s="29" t="n"/>
      <c r="B206" s="28" t="n"/>
      <c r="C206" s="28" t="n"/>
      <c r="D206" s="36" t="n"/>
      <c r="E206" s="15">
        <f>IFERROR(IF($C206="","",INDEX(INSUMOS!$G$5:$G$84,MATCH($C206,INSUMOS!$B$5:$B$84,0))),"")</f>
        <v/>
      </c>
      <c r="F206" s="37">
        <f>IFERROR(IF($C206="","",INDEX(INSUMOS!$I$5:$I$84,MATCH($C206,INSUMOS!$B$5:$B$84,0))),"")</f>
        <v/>
      </c>
      <c r="G206" s="30">
        <f>IFERROR(IF($C206="","",$D206*$F206),"")</f>
        <v/>
      </c>
      <c r="H206" s="28" t="n"/>
      <c r="I206" s="38">
        <f>IF($B206="","",SUMIFS(VENTAS!$D$5:$D$504,VENTAS!$B$5:$B$504,INICIO!$C$8,VENTAS!$C$5:$C$504,$B206))</f>
        <v/>
      </c>
      <c r="J206" s="38">
        <f>IF($C206="","",$D206*$I206)</f>
        <v/>
      </c>
    </row>
    <row r="207">
      <c r="A207" s="29" t="n"/>
      <c r="B207" s="28" t="n"/>
      <c r="C207" s="28" t="n"/>
      <c r="D207" s="36" t="n"/>
      <c r="E207" s="15">
        <f>IFERROR(IF($C207="","",INDEX(INSUMOS!$G$5:$G$84,MATCH($C207,INSUMOS!$B$5:$B$84,0))),"")</f>
        <v/>
      </c>
      <c r="F207" s="37">
        <f>IFERROR(IF($C207="","",INDEX(INSUMOS!$I$5:$I$84,MATCH($C207,INSUMOS!$B$5:$B$84,0))),"")</f>
        <v/>
      </c>
      <c r="G207" s="30">
        <f>IFERROR(IF($C207="","",$D207*$F207),"")</f>
        <v/>
      </c>
      <c r="H207" s="28" t="n"/>
      <c r="I207" s="38">
        <f>IF($B207="","",SUMIFS(VENTAS!$D$5:$D$504,VENTAS!$B$5:$B$504,INICIO!$C$8,VENTAS!$C$5:$C$504,$B207))</f>
        <v/>
      </c>
      <c r="J207" s="38">
        <f>IF($C207="","",$D207*$I207)</f>
        <v/>
      </c>
    </row>
    <row r="208">
      <c r="A208" s="29" t="n"/>
      <c r="B208" s="28" t="n"/>
      <c r="C208" s="28" t="n"/>
      <c r="D208" s="36" t="n"/>
      <c r="E208" s="15">
        <f>IFERROR(IF($C208="","",INDEX(INSUMOS!$G$5:$G$84,MATCH($C208,INSUMOS!$B$5:$B$84,0))),"")</f>
        <v/>
      </c>
      <c r="F208" s="37">
        <f>IFERROR(IF($C208="","",INDEX(INSUMOS!$I$5:$I$84,MATCH($C208,INSUMOS!$B$5:$B$84,0))),"")</f>
        <v/>
      </c>
      <c r="G208" s="30">
        <f>IFERROR(IF($C208="","",$D208*$F208),"")</f>
        <v/>
      </c>
      <c r="H208" s="28" t="n"/>
      <c r="I208" s="38">
        <f>IF($B208="","",SUMIFS(VENTAS!$D$5:$D$504,VENTAS!$B$5:$B$504,INICIO!$C$8,VENTAS!$C$5:$C$504,$B208))</f>
        <v/>
      </c>
      <c r="J208" s="38">
        <f>IF($C208="","",$D208*$I208)</f>
        <v/>
      </c>
    </row>
    <row r="209">
      <c r="A209" s="29" t="n"/>
      <c r="B209" s="28" t="n"/>
      <c r="C209" s="28" t="n"/>
      <c r="D209" s="36" t="n"/>
      <c r="E209" s="15">
        <f>IFERROR(IF($C209="","",INDEX(INSUMOS!$G$5:$G$84,MATCH($C209,INSUMOS!$B$5:$B$84,0))),"")</f>
        <v/>
      </c>
      <c r="F209" s="37">
        <f>IFERROR(IF($C209="","",INDEX(INSUMOS!$I$5:$I$84,MATCH($C209,INSUMOS!$B$5:$B$84,0))),"")</f>
        <v/>
      </c>
      <c r="G209" s="30">
        <f>IFERROR(IF($C209="","",$D209*$F209),"")</f>
        <v/>
      </c>
      <c r="H209" s="28" t="n"/>
      <c r="I209" s="38">
        <f>IF($B209="","",SUMIFS(VENTAS!$D$5:$D$504,VENTAS!$B$5:$B$504,INICIO!$C$8,VENTAS!$C$5:$C$504,$B209))</f>
        <v/>
      </c>
      <c r="J209" s="38">
        <f>IF($C209="","",$D209*$I209)</f>
        <v/>
      </c>
    </row>
    <row r="210">
      <c r="A210" s="29" t="n"/>
      <c r="B210" s="28" t="n"/>
      <c r="C210" s="28" t="n"/>
      <c r="D210" s="36" t="n"/>
      <c r="E210" s="15">
        <f>IFERROR(IF($C210="","",INDEX(INSUMOS!$G$5:$G$84,MATCH($C210,INSUMOS!$B$5:$B$84,0))),"")</f>
        <v/>
      </c>
      <c r="F210" s="37">
        <f>IFERROR(IF($C210="","",INDEX(INSUMOS!$I$5:$I$84,MATCH($C210,INSUMOS!$B$5:$B$84,0))),"")</f>
        <v/>
      </c>
      <c r="G210" s="30">
        <f>IFERROR(IF($C210="","",$D210*$F210),"")</f>
        <v/>
      </c>
      <c r="H210" s="28" t="n"/>
      <c r="I210" s="38">
        <f>IF($B210="","",SUMIFS(VENTAS!$D$5:$D$504,VENTAS!$B$5:$B$504,INICIO!$C$8,VENTAS!$C$5:$C$504,$B210))</f>
        <v/>
      </c>
      <c r="J210" s="38">
        <f>IF($C210="","",$D210*$I210)</f>
        <v/>
      </c>
    </row>
    <row r="211">
      <c r="A211" s="29" t="n"/>
      <c r="B211" s="28" t="n"/>
      <c r="C211" s="28" t="n"/>
      <c r="D211" s="36" t="n"/>
      <c r="E211" s="15">
        <f>IFERROR(IF($C211="","",INDEX(INSUMOS!$G$5:$G$84,MATCH($C211,INSUMOS!$B$5:$B$84,0))),"")</f>
        <v/>
      </c>
      <c r="F211" s="37">
        <f>IFERROR(IF($C211="","",INDEX(INSUMOS!$I$5:$I$84,MATCH($C211,INSUMOS!$B$5:$B$84,0))),"")</f>
        <v/>
      </c>
      <c r="G211" s="30">
        <f>IFERROR(IF($C211="","",$D211*$F211),"")</f>
        <v/>
      </c>
      <c r="H211" s="28" t="n"/>
      <c r="I211" s="38">
        <f>IF($B211="","",SUMIFS(VENTAS!$D$5:$D$504,VENTAS!$B$5:$B$504,INICIO!$C$8,VENTAS!$C$5:$C$504,$B211))</f>
        <v/>
      </c>
      <c r="J211" s="38">
        <f>IF($C211="","",$D211*$I211)</f>
        <v/>
      </c>
    </row>
    <row r="212">
      <c r="A212" s="29" t="n"/>
      <c r="B212" s="28" t="n"/>
      <c r="C212" s="28" t="n"/>
      <c r="D212" s="36" t="n"/>
      <c r="E212" s="15">
        <f>IFERROR(IF($C212="","",INDEX(INSUMOS!$G$5:$G$84,MATCH($C212,INSUMOS!$B$5:$B$84,0))),"")</f>
        <v/>
      </c>
      <c r="F212" s="37">
        <f>IFERROR(IF($C212="","",INDEX(INSUMOS!$I$5:$I$84,MATCH($C212,INSUMOS!$B$5:$B$84,0))),"")</f>
        <v/>
      </c>
      <c r="G212" s="30">
        <f>IFERROR(IF($C212="","",$D212*$F212),"")</f>
        <v/>
      </c>
      <c r="H212" s="28" t="n"/>
      <c r="I212" s="38">
        <f>IF($B212="","",SUMIFS(VENTAS!$D$5:$D$504,VENTAS!$B$5:$B$504,INICIO!$C$8,VENTAS!$C$5:$C$504,$B212))</f>
        <v/>
      </c>
      <c r="J212" s="38">
        <f>IF($C212="","",$D212*$I212)</f>
        <v/>
      </c>
    </row>
    <row r="213">
      <c r="A213" s="29" t="n"/>
      <c r="B213" s="28" t="n"/>
      <c r="C213" s="28" t="n"/>
      <c r="D213" s="36" t="n"/>
      <c r="E213" s="15">
        <f>IFERROR(IF($C213="","",INDEX(INSUMOS!$G$5:$G$84,MATCH($C213,INSUMOS!$B$5:$B$84,0))),"")</f>
        <v/>
      </c>
      <c r="F213" s="37">
        <f>IFERROR(IF($C213="","",INDEX(INSUMOS!$I$5:$I$84,MATCH($C213,INSUMOS!$B$5:$B$84,0))),"")</f>
        <v/>
      </c>
      <c r="G213" s="30">
        <f>IFERROR(IF($C213="","",$D213*$F213),"")</f>
        <v/>
      </c>
      <c r="H213" s="28" t="n"/>
      <c r="I213" s="38">
        <f>IF($B213="","",SUMIFS(VENTAS!$D$5:$D$504,VENTAS!$B$5:$B$504,INICIO!$C$8,VENTAS!$C$5:$C$504,$B213))</f>
        <v/>
      </c>
      <c r="J213" s="38">
        <f>IF($C213="","",$D213*$I213)</f>
        <v/>
      </c>
    </row>
    <row r="214">
      <c r="A214" s="29" t="n"/>
      <c r="B214" s="28" t="n"/>
      <c r="C214" s="28" t="n"/>
      <c r="D214" s="36" t="n"/>
      <c r="E214" s="15">
        <f>IFERROR(IF($C214="","",INDEX(INSUMOS!$G$5:$G$84,MATCH($C214,INSUMOS!$B$5:$B$84,0))),"")</f>
        <v/>
      </c>
      <c r="F214" s="37">
        <f>IFERROR(IF($C214="","",INDEX(INSUMOS!$I$5:$I$84,MATCH($C214,INSUMOS!$B$5:$B$84,0))),"")</f>
        <v/>
      </c>
      <c r="G214" s="30">
        <f>IFERROR(IF($C214="","",$D214*$F214),"")</f>
        <v/>
      </c>
      <c r="H214" s="28" t="n"/>
      <c r="I214" s="38">
        <f>IF($B214="","",SUMIFS(VENTAS!$D$5:$D$504,VENTAS!$B$5:$B$504,INICIO!$C$8,VENTAS!$C$5:$C$504,$B214))</f>
        <v/>
      </c>
      <c r="J214" s="38">
        <f>IF($C214="","",$D214*$I214)</f>
        <v/>
      </c>
    </row>
    <row r="215">
      <c r="A215" s="29" t="n"/>
      <c r="B215" s="28" t="n"/>
      <c r="C215" s="28" t="n"/>
      <c r="D215" s="36" t="n"/>
      <c r="E215" s="15">
        <f>IFERROR(IF($C215="","",INDEX(INSUMOS!$G$5:$G$84,MATCH($C215,INSUMOS!$B$5:$B$84,0))),"")</f>
        <v/>
      </c>
      <c r="F215" s="37">
        <f>IFERROR(IF($C215="","",INDEX(INSUMOS!$I$5:$I$84,MATCH($C215,INSUMOS!$B$5:$B$84,0))),"")</f>
        <v/>
      </c>
      <c r="G215" s="30">
        <f>IFERROR(IF($C215="","",$D215*$F215),"")</f>
        <v/>
      </c>
      <c r="H215" s="28" t="n"/>
      <c r="I215" s="38">
        <f>IF($B215="","",SUMIFS(VENTAS!$D$5:$D$504,VENTAS!$B$5:$B$504,INICIO!$C$8,VENTAS!$C$5:$C$504,$B215))</f>
        <v/>
      </c>
      <c r="J215" s="38">
        <f>IF($C215="","",$D215*$I215)</f>
        <v/>
      </c>
    </row>
    <row r="216">
      <c r="A216" s="29" t="n"/>
      <c r="B216" s="28" t="n"/>
      <c r="C216" s="28" t="n"/>
      <c r="D216" s="36" t="n"/>
      <c r="E216" s="15">
        <f>IFERROR(IF($C216="","",INDEX(INSUMOS!$G$5:$G$84,MATCH($C216,INSUMOS!$B$5:$B$84,0))),"")</f>
        <v/>
      </c>
      <c r="F216" s="37">
        <f>IFERROR(IF($C216="","",INDEX(INSUMOS!$I$5:$I$84,MATCH($C216,INSUMOS!$B$5:$B$84,0))),"")</f>
        <v/>
      </c>
      <c r="G216" s="30">
        <f>IFERROR(IF($C216="","",$D216*$F216),"")</f>
        <v/>
      </c>
      <c r="H216" s="28" t="n"/>
      <c r="I216" s="38">
        <f>IF($B216="","",SUMIFS(VENTAS!$D$5:$D$504,VENTAS!$B$5:$B$504,INICIO!$C$8,VENTAS!$C$5:$C$504,$B216))</f>
        <v/>
      </c>
      <c r="J216" s="38">
        <f>IF($C216="","",$D216*$I216)</f>
        <v/>
      </c>
    </row>
    <row r="217">
      <c r="A217" s="29" t="n"/>
      <c r="B217" s="28" t="n"/>
      <c r="C217" s="28" t="n"/>
      <c r="D217" s="36" t="n"/>
      <c r="E217" s="15">
        <f>IFERROR(IF($C217="","",INDEX(INSUMOS!$G$5:$G$84,MATCH($C217,INSUMOS!$B$5:$B$84,0))),"")</f>
        <v/>
      </c>
      <c r="F217" s="37">
        <f>IFERROR(IF($C217="","",INDEX(INSUMOS!$I$5:$I$84,MATCH($C217,INSUMOS!$B$5:$B$84,0))),"")</f>
        <v/>
      </c>
      <c r="G217" s="30">
        <f>IFERROR(IF($C217="","",$D217*$F217),"")</f>
        <v/>
      </c>
      <c r="H217" s="28" t="n"/>
      <c r="I217" s="38">
        <f>IF($B217="","",SUMIFS(VENTAS!$D$5:$D$504,VENTAS!$B$5:$B$504,INICIO!$C$8,VENTAS!$C$5:$C$504,$B217))</f>
        <v/>
      </c>
      <c r="J217" s="38">
        <f>IF($C217="","",$D217*$I217)</f>
        <v/>
      </c>
    </row>
    <row r="218">
      <c r="A218" s="29" t="n"/>
      <c r="B218" s="28" t="n"/>
      <c r="C218" s="28" t="n"/>
      <c r="D218" s="36" t="n"/>
      <c r="E218" s="15">
        <f>IFERROR(IF($C218="","",INDEX(INSUMOS!$G$5:$G$84,MATCH($C218,INSUMOS!$B$5:$B$84,0))),"")</f>
        <v/>
      </c>
      <c r="F218" s="37">
        <f>IFERROR(IF($C218="","",INDEX(INSUMOS!$I$5:$I$84,MATCH($C218,INSUMOS!$B$5:$B$84,0))),"")</f>
        <v/>
      </c>
      <c r="G218" s="30">
        <f>IFERROR(IF($C218="","",$D218*$F218),"")</f>
        <v/>
      </c>
      <c r="H218" s="28" t="n"/>
      <c r="I218" s="38">
        <f>IF($B218="","",SUMIFS(VENTAS!$D$5:$D$504,VENTAS!$B$5:$B$504,INICIO!$C$8,VENTAS!$C$5:$C$504,$B218))</f>
        <v/>
      </c>
      <c r="J218" s="38">
        <f>IF($C218="","",$D218*$I218)</f>
        <v/>
      </c>
    </row>
    <row r="219">
      <c r="A219" s="29" t="n"/>
      <c r="B219" s="28" t="n"/>
      <c r="C219" s="28" t="n"/>
      <c r="D219" s="36" t="n"/>
      <c r="E219" s="15">
        <f>IFERROR(IF($C219="","",INDEX(INSUMOS!$G$5:$G$84,MATCH($C219,INSUMOS!$B$5:$B$84,0))),"")</f>
        <v/>
      </c>
      <c r="F219" s="37">
        <f>IFERROR(IF($C219="","",INDEX(INSUMOS!$I$5:$I$84,MATCH($C219,INSUMOS!$B$5:$B$84,0))),"")</f>
        <v/>
      </c>
      <c r="G219" s="30">
        <f>IFERROR(IF($C219="","",$D219*$F219),"")</f>
        <v/>
      </c>
      <c r="H219" s="28" t="n"/>
      <c r="I219" s="38">
        <f>IF($B219="","",SUMIFS(VENTAS!$D$5:$D$504,VENTAS!$B$5:$B$504,INICIO!$C$8,VENTAS!$C$5:$C$504,$B219))</f>
        <v/>
      </c>
      <c r="J219" s="38">
        <f>IF($C219="","",$D219*$I219)</f>
        <v/>
      </c>
    </row>
    <row r="220">
      <c r="A220" s="29" t="n"/>
      <c r="B220" s="28" t="n"/>
      <c r="C220" s="28" t="n"/>
      <c r="D220" s="36" t="n"/>
      <c r="E220" s="15">
        <f>IFERROR(IF($C220="","",INDEX(INSUMOS!$G$5:$G$84,MATCH($C220,INSUMOS!$B$5:$B$84,0))),"")</f>
        <v/>
      </c>
      <c r="F220" s="37">
        <f>IFERROR(IF($C220="","",INDEX(INSUMOS!$I$5:$I$84,MATCH($C220,INSUMOS!$B$5:$B$84,0))),"")</f>
        <v/>
      </c>
      <c r="G220" s="30">
        <f>IFERROR(IF($C220="","",$D220*$F220),"")</f>
        <v/>
      </c>
      <c r="H220" s="28" t="n"/>
      <c r="I220" s="38">
        <f>IF($B220="","",SUMIFS(VENTAS!$D$5:$D$504,VENTAS!$B$5:$B$504,INICIO!$C$8,VENTAS!$C$5:$C$504,$B220))</f>
        <v/>
      </c>
      <c r="J220" s="38">
        <f>IF($C220="","",$D220*$I220)</f>
        <v/>
      </c>
    </row>
    <row r="221">
      <c r="A221" s="29" t="n"/>
      <c r="B221" s="28" t="n"/>
      <c r="C221" s="28" t="n"/>
      <c r="D221" s="36" t="n"/>
      <c r="E221" s="15">
        <f>IFERROR(IF($C221="","",INDEX(INSUMOS!$G$5:$G$84,MATCH($C221,INSUMOS!$B$5:$B$84,0))),"")</f>
        <v/>
      </c>
      <c r="F221" s="37">
        <f>IFERROR(IF($C221="","",INDEX(INSUMOS!$I$5:$I$84,MATCH($C221,INSUMOS!$B$5:$B$84,0))),"")</f>
        <v/>
      </c>
      <c r="G221" s="30">
        <f>IFERROR(IF($C221="","",$D221*$F221),"")</f>
        <v/>
      </c>
      <c r="H221" s="28" t="n"/>
      <c r="I221" s="38">
        <f>IF($B221="","",SUMIFS(VENTAS!$D$5:$D$504,VENTAS!$B$5:$B$504,INICIO!$C$8,VENTAS!$C$5:$C$504,$B221))</f>
        <v/>
      </c>
      <c r="J221" s="38">
        <f>IF($C221="","",$D221*$I221)</f>
        <v/>
      </c>
    </row>
    <row r="222">
      <c r="A222" s="29" t="n"/>
      <c r="B222" s="28" t="n"/>
      <c r="C222" s="28" t="n"/>
      <c r="D222" s="36" t="n"/>
      <c r="E222" s="15">
        <f>IFERROR(IF($C222="","",INDEX(INSUMOS!$G$5:$G$84,MATCH($C222,INSUMOS!$B$5:$B$84,0))),"")</f>
        <v/>
      </c>
      <c r="F222" s="37">
        <f>IFERROR(IF($C222="","",INDEX(INSUMOS!$I$5:$I$84,MATCH($C222,INSUMOS!$B$5:$B$84,0))),"")</f>
        <v/>
      </c>
      <c r="G222" s="30">
        <f>IFERROR(IF($C222="","",$D222*$F222),"")</f>
        <v/>
      </c>
      <c r="H222" s="28" t="n"/>
      <c r="I222" s="38">
        <f>IF($B222="","",SUMIFS(VENTAS!$D$5:$D$504,VENTAS!$B$5:$B$504,INICIO!$C$8,VENTAS!$C$5:$C$504,$B222))</f>
        <v/>
      </c>
      <c r="J222" s="38">
        <f>IF($C222="","",$D222*$I222)</f>
        <v/>
      </c>
    </row>
    <row r="223">
      <c r="A223" s="29" t="n"/>
      <c r="B223" s="28" t="n"/>
      <c r="C223" s="28" t="n"/>
      <c r="D223" s="36" t="n"/>
      <c r="E223" s="15">
        <f>IFERROR(IF($C223="","",INDEX(INSUMOS!$G$5:$G$84,MATCH($C223,INSUMOS!$B$5:$B$84,0))),"")</f>
        <v/>
      </c>
      <c r="F223" s="37">
        <f>IFERROR(IF($C223="","",INDEX(INSUMOS!$I$5:$I$84,MATCH($C223,INSUMOS!$B$5:$B$84,0))),"")</f>
        <v/>
      </c>
      <c r="G223" s="30">
        <f>IFERROR(IF($C223="","",$D223*$F223),"")</f>
        <v/>
      </c>
      <c r="H223" s="28" t="n"/>
      <c r="I223" s="38">
        <f>IF($B223="","",SUMIFS(VENTAS!$D$5:$D$504,VENTAS!$B$5:$B$504,INICIO!$C$8,VENTAS!$C$5:$C$504,$B223))</f>
        <v/>
      </c>
      <c r="J223" s="38">
        <f>IF($C223="","",$D223*$I223)</f>
        <v/>
      </c>
    </row>
    <row r="224">
      <c r="A224" s="29" t="n"/>
      <c r="B224" s="28" t="n"/>
      <c r="C224" s="28" t="n"/>
      <c r="D224" s="36" t="n"/>
      <c r="E224" s="15">
        <f>IFERROR(IF($C224="","",INDEX(INSUMOS!$G$5:$G$84,MATCH($C224,INSUMOS!$B$5:$B$84,0))),"")</f>
        <v/>
      </c>
      <c r="F224" s="37">
        <f>IFERROR(IF($C224="","",INDEX(INSUMOS!$I$5:$I$84,MATCH($C224,INSUMOS!$B$5:$B$84,0))),"")</f>
        <v/>
      </c>
      <c r="G224" s="30">
        <f>IFERROR(IF($C224="","",$D224*$F224),"")</f>
        <v/>
      </c>
      <c r="H224" s="28" t="n"/>
      <c r="I224" s="38">
        <f>IF($B224="","",SUMIFS(VENTAS!$D$5:$D$504,VENTAS!$B$5:$B$504,INICIO!$C$8,VENTAS!$C$5:$C$504,$B224))</f>
        <v/>
      </c>
      <c r="J224" s="38">
        <f>IF($C224="","",$D224*$I224)</f>
        <v/>
      </c>
    </row>
    <row r="225">
      <c r="A225" s="29" t="n"/>
      <c r="B225" s="28" t="n"/>
      <c r="C225" s="28" t="n"/>
      <c r="D225" s="36" t="n"/>
      <c r="E225" s="15">
        <f>IFERROR(IF($C225="","",INDEX(INSUMOS!$G$5:$G$84,MATCH($C225,INSUMOS!$B$5:$B$84,0))),"")</f>
        <v/>
      </c>
      <c r="F225" s="37">
        <f>IFERROR(IF($C225="","",INDEX(INSUMOS!$I$5:$I$84,MATCH($C225,INSUMOS!$B$5:$B$84,0))),"")</f>
        <v/>
      </c>
      <c r="G225" s="30">
        <f>IFERROR(IF($C225="","",$D225*$F225),"")</f>
        <v/>
      </c>
      <c r="H225" s="28" t="n"/>
      <c r="I225" s="38">
        <f>IF($B225="","",SUMIFS(VENTAS!$D$5:$D$504,VENTAS!$B$5:$B$504,INICIO!$C$8,VENTAS!$C$5:$C$504,$B225))</f>
        <v/>
      </c>
      <c r="J225" s="38">
        <f>IF($C225="","",$D225*$I225)</f>
        <v/>
      </c>
    </row>
    <row r="226">
      <c r="A226" s="29" t="n"/>
      <c r="B226" s="28" t="n"/>
      <c r="C226" s="28" t="n"/>
      <c r="D226" s="36" t="n"/>
      <c r="E226" s="15">
        <f>IFERROR(IF($C226="","",INDEX(INSUMOS!$G$5:$G$84,MATCH($C226,INSUMOS!$B$5:$B$84,0))),"")</f>
        <v/>
      </c>
      <c r="F226" s="37">
        <f>IFERROR(IF($C226="","",INDEX(INSUMOS!$I$5:$I$84,MATCH($C226,INSUMOS!$B$5:$B$84,0))),"")</f>
        <v/>
      </c>
      <c r="G226" s="30">
        <f>IFERROR(IF($C226="","",$D226*$F226),"")</f>
        <v/>
      </c>
      <c r="H226" s="28" t="n"/>
      <c r="I226" s="38">
        <f>IF($B226="","",SUMIFS(VENTAS!$D$5:$D$504,VENTAS!$B$5:$B$504,INICIO!$C$8,VENTAS!$C$5:$C$504,$B226))</f>
        <v/>
      </c>
      <c r="J226" s="38">
        <f>IF($C226="","",$D226*$I226)</f>
        <v/>
      </c>
    </row>
    <row r="227">
      <c r="A227" s="29" t="n"/>
      <c r="B227" s="28" t="n"/>
      <c r="C227" s="28" t="n"/>
      <c r="D227" s="36" t="n"/>
      <c r="E227" s="15">
        <f>IFERROR(IF($C227="","",INDEX(INSUMOS!$G$5:$G$84,MATCH($C227,INSUMOS!$B$5:$B$84,0))),"")</f>
        <v/>
      </c>
      <c r="F227" s="37">
        <f>IFERROR(IF($C227="","",INDEX(INSUMOS!$I$5:$I$84,MATCH($C227,INSUMOS!$B$5:$B$84,0))),"")</f>
        <v/>
      </c>
      <c r="G227" s="30">
        <f>IFERROR(IF($C227="","",$D227*$F227),"")</f>
        <v/>
      </c>
      <c r="H227" s="28" t="n"/>
      <c r="I227" s="38">
        <f>IF($B227="","",SUMIFS(VENTAS!$D$5:$D$504,VENTAS!$B$5:$B$504,INICIO!$C$8,VENTAS!$C$5:$C$504,$B227))</f>
        <v/>
      </c>
      <c r="J227" s="38">
        <f>IF($C227="","",$D227*$I227)</f>
        <v/>
      </c>
    </row>
    <row r="228">
      <c r="A228" s="29" t="n"/>
      <c r="B228" s="28" t="n"/>
      <c r="C228" s="28" t="n"/>
      <c r="D228" s="36" t="n"/>
      <c r="E228" s="15">
        <f>IFERROR(IF($C228="","",INDEX(INSUMOS!$G$5:$G$84,MATCH($C228,INSUMOS!$B$5:$B$84,0))),"")</f>
        <v/>
      </c>
      <c r="F228" s="37">
        <f>IFERROR(IF($C228="","",INDEX(INSUMOS!$I$5:$I$84,MATCH($C228,INSUMOS!$B$5:$B$84,0))),"")</f>
        <v/>
      </c>
      <c r="G228" s="30">
        <f>IFERROR(IF($C228="","",$D228*$F228),"")</f>
        <v/>
      </c>
      <c r="H228" s="28" t="n"/>
      <c r="I228" s="38">
        <f>IF($B228="","",SUMIFS(VENTAS!$D$5:$D$504,VENTAS!$B$5:$B$504,INICIO!$C$8,VENTAS!$C$5:$C$504,$B228))</f>
        <v/>
      </c>
      <c r="J228" s="38">
        <f>IF($C228="","",$D228*$I228)</f>
        <v/>
      </c>
    </row>
    <row r="229">
      <c r="A229" s="29" t="n"/>
      <c r="B229" s="28" t="n"/>
      <c r="C229" s="28" t="n"/>
      <c r="D229" s="36" t="n"/>
      <c r="E229" s="15">
        <f>IFERROR(IF($C229="","",INDEX(INSUMOS!$G$5:$G$84,MATCH($C229,INSUMOS!$B$5:$B$84,0))),"")</f>
        <v/>
      </c>
      <c r="F229" s="37">
        <f>IFERROR(IF($C229="","",INDEX(INSUMOS!$I$5:$I$84,MATCH($C229,INSUMOS!$B$5:$B$84,0))),"")</f>
        <v/>
      </c>
      <c r="G229" s="30">
        <f>IFERROR(IF($C229="","",$D229*$F229),"")</f>
        <v/>
      </c>
      <c r="H229" s="28" t="n"/>
      <c r="I229" s="38">
        <f>IF($B229="","",SUMIFS(VENTAS!$D$5:$D$504,VENTAS!$B$5:$B$504,INICIO!$C$8,VENTAS!$C$5:$C$504,$B229))</f>
        <v/>
      </c>
      <c r="J229" s="38">
        <f>IF($C229="","",$D229*$I229)</f>
        <v/>
      </c>
    </row>
    <row r="230">
      <c r="A230" s="29" t="n"/>
      <c r="B230" s="28" t="n"/>
      <c r="C230" s="28" t="n"/>
      <c r="D230" s="36" t="n"/>
      <c r="E230" s="15">
        <f>IFERROR(IF($C230="","",INDEX(INSUMOS!$G$5:$G$84,MATCH($C230,INSUMOS!$B$5:$B$84,0))),"")</f>
        <v/>
      </c>
      <c r="F230" s="37">
        <f>IFERROR(IF($C230="","",INDEX(INSUMOS!$I$5:$I$84,MATCH($C230,INSUMOS!$B$5:$B$84,0))),"")</f>
        <v/>
      </c>
      <c r="G230" s="30">
        <f>IFERROR(IF($C230="","",$D230*$F230),"")</f>
        <v/>
      </c>
      <c r="H230" s="28" t="n"/>
      <c r="I230" s="38">
        <f>IF($B230="","",SUMIFS(VENTAS!$D$5:$D$504,VENTAS!$B$5:$B$504,INICIO!$C$8,VENTAS!$C$5:$C$504,$B230))</f>
        <v/>
      </c>
      <c r="J230" s="38">
        <f>IF($C230="","",$D230*$I230)</f>
        <v/>
      </c>
    </row>
    <row r="231">
      <c r="A231" s="29" t="n"/>
      <c r="B231" s="28" t="n"/>
      <c r="C231" s="28" t="n"/>
      <c r="D231" s="36" t="n"/>
      <c r="E231" s="15">
        <f>IFERROR(IF($C231="","",INDEX(INSUMOS!$G$5:$G$84,MATCH($C231,INSUMOS!$B$5:$B$84,0))),"")</f>
        <v/>
      </c>
      <c r="F231" s="37">
        <f>IFERROR(IF($C231="","",INDEX(INSUMOS!$I$5:$I$84,MATCH($C231,INSUMOS!$B$5:$B$84,0))),"")</f>
        <v/>
      </c>
      <c r="G231" s="30">
        <f>IFERROR(IF($C231="","",$D231*$F231),"")</f>
        <v/>
      </c>
      <c r="H231" s="28" t="n"/>
      <c r="I231" s="38">
        <f>IF($B231="","",SUMIFS(VENTAS!$D$5:$D$504,VENTAS!$B$5:$B$504,INICIO!$C$8,VENTAS!$C$5:$C$504,$B231))</f>
        <v/>
      </c>
      <c r="J231" s="38">
        <f>IF($C231="","",$D231*$I231)</f>
        <v/>
      </c>
    </row>
    <row r="232">
      <c r="A232" s="29" t="n"/>
      <c r="B232" s="28" t="n"/>
      <c r="C232" s="28" t="n"/>
      <c r="D232" s="36" t="n"/>
      <c r="E232" s="15">
        <f>IFERROR(IF($C232="","",INDEX(INSUMOS!$G$5:$G$84,MATCH($C232,INSUMOS!$B$5:$B$84,0))),"")</f>
        <v/>
      </c>
      <c r="F232" s="37">
        <f>IFERROR(IF($C232="","",INDEX(INSUMOS!$I$5:$I$84,MATCH($C232,INSUMOS!$B$5:$B$84,0))),"")</f>
        <v/>
      </c>
      <c r="G232" s="30">
        <f>IFERROR(IF($C232="","",$D232*$F232),"")</f>
        <v/>
      </c>
      <c r="H232" s="28" t="n"/>
      <c r="I232" s="38">
        <f>IF($B232="","",SUMIFS(VENTAS!$D$5:$D$504,VENTAS!$B$5:$B$504,INICIO!$C$8,VENTAS!$C$5:$C$504,$B232))</f>
        <v/>
      </c>
      <c r="J232" s="38">
        <f>IF($C232="","",$D232*$I232)</f>
        <v/>
      </c>
    </row>
    <row r="233">
      <c r="A233" s="29" t="n"/>
      <c r="B233" s="28" t="n"/>
      <c r="C233" s="28" t="n"/>
      <c r="D233" s="36" t="n"/>
      <c r="E233" s="15">
        <f>IFERROR(IF($C233="","",INDEX(INSUMOS!$G$5:$G$84,MATCH($C233,INSUMOS!$B$5:$B$84,0))),"")</f>
        <v/>
      </c>
      <c r="F233" s="37">
        <f>IFERROR(IF($C233="","",INDEX(INSUMOS!$I$5:$I$84,MATCH($C233,INSUMOS!$B$5:$B$84,0))),"")</f>
        <v/>
      </c>
      <c r="G233" s="30">
        <f>IFERROR(IF($C233="","",$D233*$F233),"")</f>
        <v/>
      </c>
      <c r="H233" s="28" t="n"/>
      <c r="I233" s="38">
        <f>IF($B233="","",SUMIFS(VENTAS!$D$5:$D$504,VENTAS!$B$5:$B$504,INICIO!$C$8,VENTAS!$C$5:$C$504,$B233))</f>
        <v/>
      </c>
      <c r="J233" s="38">
        <f>IF($C233="","",$D233*$I233)</f>
        <v/>
      </c>
    </row>
    <row r="234">
      <c r="A234" s="29" t="n"/>
      <c r="B234" s="28" t="n"/>
      <c r="C234" s="28" t="n"/>
      <c r="D234" s="36" t="n"/>
      <c r="E234" s="15">
        <f>IFERROR(IF($C234="","",INDEX(INSUMOS!$G$5:$G$84,MATCH($C234,INSUMOS!$B$5:$B$84,0))),"")</f>
        <v/>
      </c>
      <c r="F234" s="37">
        <f>IFERROR(IF($C234="","",INDEX(INSUMOS!$I$5:$I$84,MATCH($C234,INSUMOS!$B$5:$B$84,0))),"")</f>
        <v/>
      </c>
      <c r="G234" s="30">
        <f>IFERROR(IF($C234="","",$D234*$F234),"")</f>
        <v/>
      </c>
      <c r="H234" s="28" t="n"/>
      <c r="I234" s="38">
        <f>IF($B234="","",SUMIFS(VENTAS!$D$5:$D$504,VENTAS!$B$5:$B$504,INICIO!$C$8,VENTAS!$C$5:$C$504,$B234))</f>
        <v/>
      </c>
      <c r="J234" s="38">
        <f>IF($C234="","",$D234*$I234)</f>
        <v/>
      </c>
    </row>
    <row r="235">
      <c r="A235" s="29" t="n"/>
      <c r="B235" s="28" t="n"/>
      <c r="C235" s="28" t="n"/>
      <c r="D235" s="36" t="n"/>
      <c r="E235" s="15">
        <f>IFERROR(IF($C235="","",INDEX(INSUMOS!$G$5:$G$84,MATCH($C235,INSUMOS!$B$5:$B$84,0))),"")</f>
        <v/>
      </c>
      <c r="F235" s="37">
        <f>IFERROR(IF($C235="","",INDEX(INSUMOS!$I$5:$I$84,MATCH($C235,INSUMOS!$B$5:$B$84,0))),"")</f>
        <v/>
      </c>
      <c r="G235" s="30">
        <f>IFERROR(IF($C235="","",$D235*$F235),"")</f>
        <v/>
      </c>
      <c r="H235" s="28" t="n"/>
      <c r="I235" s="38">
        <f>IF($B235="","",SUMIFS(VENTAS!$D$5:$D$504,VENTAS!$B$5:$B$504,INICIO!$C$8,VENTAS!$C$5:$C$504,$B235))</f>
        <v/>
      </c>
      <c r="J235" s="38">
        <f>IF($C235="","",$D235*$I235)</f>
        <v/>
      </c>
    </row>
    <row r="236">
      <c r="A236" s="29" t="n"/>
      <c r="B236" s="28" t="n"/>
      <c r="C236" s="28" t="n"/>
      <c r="D236" s="36" t="n"/>
      <c r="E236" s="15">
        <f>IFERROR(IF($C236="","",INDEX(INSUMOS!$G$5:$G$84,MATCH($C236,INSUMOS!$B$5:$B$84,0))),"")</f>
        <v/>
      </c>
      <c r="F236" s="37">
        <f>IFERROR(IF($C236="","",INDEX(INSUMOS!$I$5:$I$84,MATCH($C236,INSUMOS!$B$5:$B$84,0))),"")</f>
        <v/>
      </c>
      <c r="G236" s="30">
        <f>IFERROR(IF($C236="","",$D236*$F236),"")</f>
        <v/>
      </c>
      <c r="H236" s="28" t="n"/>
      <c r="I236" s="38">
        <f>IF($B236="","",SUMIFS(VENTAS!$D$5:$D$504,VENTAS!$B$5:$B$504,INICIO!$C$8,VENTAS!$C$5:$C$504,$B236))</f>
        <v/>
      </c>
      <c r="J236" s="38">
        <f>IF($C236="","",$D236*$I236)</f>
        <v/>
      </c>
    </row>
    <row r="237">
      <c r="A237" s="29" t="n"/>
      <c r="B237" s="28" t="n"/>
      <c r="C237" s="28" t="n"/>
      <c r="D237" s="36" t="n"/>
      <c r="E237" s="15">
        <f>IFERROR(IF($C237="","",INDEX(INSUMOS!$G$5:$G$84,MATCH($C237,INSUMOS!$B$5:$B$84,0))),"")</f>
        <v/>
      </c>
      <c r="F237" s="37">
        <f>IFERROR(IF($C237="","",INDEX(INSUMOS!$I$5:$I$84,MATCH($C237,INSUMOS!$B$5:$B$84,0))),"")</f>
        <v/>
      </c>
      <c r="G237" s="30">
        <f>IFERROR(IF($C237="","",$D237*$F237),"")</f>
        <v/>
      </c>
      <c r="H237" s="28" t="n"/>
      <c r="I237" s="38">
        <f>IF($B237="","",SUMIFS(VENTAS!$D$5:$D$504,VENTAS!$B$5:$B$504,INICIO!$C$8,VENTAS!$C$5:$C$504,$B237))</f>
        <v/>
      </c>
      <c r="J237" s="38">
        <f>IF($C237="","",$D237*$I237)</f>
        <v/>
      </c>
    </row>
    <row r="238">
      <c r="A238" s="29" t="n"/>
      <c r="B238" s="28" t="n"/>
      <c r="C238" s="28" t="n"/>
      <c r="D238" s="36" t="n"/>
      <c r="E238" s="15">
        <f>IFERROR(IF($C238="","",INDEX(INSUMOS!$G$5:$G$84,MATCH($C238,INSUMOS!$B$5:$B$84,0))),"")</f>
        <v/>
      </c>
      <c r="F238" s="37">
        <f>IFERROR(IF($C238="","",INDEX(INSUMOS!$I$5:$I$84,MATCH($C238,INSUMOS!$B$5:$B$84,0))),"")</f>
        <v/>
      </c>
      <c r="G238" s="30">
        <f>IFERROR(IF($C238="","",$D238*$F238),"")</f>
        <v/>
      </c>
      <c r="H238" s="28" t="n"/>
      <c r="I238" s="38">
        <f>IF($B238="","",SUMIFS(VENTAS!$D$5:$D$504,VENTAS!$B$5:$B$504,INICIO!$C$8,VENTAS!$C$5:$C$504,$B238))</f>
        <v/>
      </c>
      <c r="J238" s="38">
        <f>IF($C238="","",$D238*$I238)</f>
        <v/>
      </c>
    </row>
    <row r="239">
      <c r="A239" s="29" t="n"/>
      <c r="B239" s="28" t="n"/>
      <c r="C239" s="28" t="n"/>
      <c r="D239" s="36" t="n"/>
      <c r="E239" s="15">
        <f>IFERROR(IF($C239="","",INDEX(INSUMOS!$G$5:$G$84,MATCH($C239,INSUMOS!$B$5:$B$84,0))),"")</f>
        <v/>
      </c>
      <c r="F239" s="37">
        <f>IFERROR(IF($C239="","",INDEX(INSUMOS!$I$5:$I$84,MATCH($C239,INSUMOS!$B$5:$B$84,0))),"")</f>
        <v/>
      </c>
      <c r="G239" s="30">
        <f>IFERROR(IF($C239="","",$D239*$F239),"")</f>
        <v/>
      </c>
      <c r="H239" s="28" t="n"/>
      <c r="I239" s="38">
        <f>IF($B239="","",SUMIFS(VENTAS!$D$5:$D$504,VENTAS!$B$5:$B$504,INICIO!$C$8,VENTAS!$C$5:$C$504,$B239))</f>
        <v/>
      </c>
      <c r="J239" s="38">
        <f>IF($C239="","",$D239*$I239)</f>
        <v/>
      </c>
    </row>
    <row r="240">
      <c r="A240" s="29" t="n"/>
      <c r="B240" s="28" t="n"/>
      <c r="C240" s="28" t="n"/>
      <c r="D240" s="36" t="n"/>
      <c r="E240" s="15">
        <f>IFERROR(IF($C240="","",INDEX(INSUMOS!$G$5:$G$84,MATCH($C240,INSUMOS!$B$5:$B$84,0))),"")</f>
        <v/>
      </c>
      <c r="F240" s="37">
        <f>IFERROR(IF($C240="","",INDEX(INSUMOS!$I$5:$I$84,MATCH($C240,INSUMOS!$B$5:$B$84,0))),"")</f>
        <v/>
      </c>
      <c r="G240" s="30">
        <f>IFERROR(IF($C240="","",$D240*$F240),"")</f>
        <v/>
      </c>
      <c r="H240" s="28" t="n"/>
      <c r="I240" s="38">
        <f>IF($B240="","",SUMIFS(VENTAS!$D$5:$D$504,VENTAS!$B$5:$B$504,INICIO!$C$8,VENTAS!$C$5:$C$504,$B240))</f>
        <v/>
      </c>
      <c r="J240" s="38">
        <f>IF($C240="","",$D240*$I240)</f>
        <v/>
      </c>
    </row>
    <row r="241">
      <c r="A241" s="29" t="n"/>
      <c r="B241" s="28" t="n"/>
      <c r="C241" s="28" t="n"/>
      <c r="D241" s="36" t="n"/>
      <c r="E241" s="15">
        <f>IFERROR(IF($C241="","",INDEX(INSUMOS!$G$5:$G$84,MATCH($C241,INSUMOS!$B$5:$B$84,0))),"")</f>
        <v/>
      </c>
      <c r="F241" s="37">
        <f>IFERROR(IF($C241="","",INDEX(INSUMOS!$I$5:$I$84,MATCH($C241,INSUMOS!$B$5:$B$84,0))),"")</f>
        <v/>
      </c>
      <c r="G241" s="30">
        <f>IFERROR(IF($C241="","",$D241*$F241),"")</f>
        <v/>
      </c>
      <c r="H241" s="28" t="n"/>
      <c r="I241" s="38">
        <f>IF($B241="","",SUMIFS(VENTAS!$D$5:$D$504,VENTAS!$B$5:$B$504,INICIO!$C$8,VENTAS!$C$5:$C$504,$B241))</f>
        <v/>
      </c>
      <c r="J241" s="38">
        <f>IF($C241="","",$D241*$I241)</f>
        <v/>
      </c>
    </row>
    <row r="242">
      <c r="A242" s="29" t="n"/>
      <c r="B242" s="28" t="n"/>
      <c r="C242" s="28" t="n"/>
      <c r="D242" s="36" t="n"/>
      <c r="E242" s="15">
        <f>IFERROR(IF($C242="","",INDEX(INSUMOS!$G$5:$G$84,MATCH($C242,INSUMOS!$B$5:$B$84,0))),"")</f>
        <v/>
      </c>
      <c r="F242" s="37">
        <f>IFERROR(IF($C242="","",INDEX(INSUMOS!$I$5:$I$84,MATCH($C242,INSUMOS!$B$5:$B$84,0))),"")</f>
        <v/>
      </c>
      <c r="G242" s="30">
        <f>IFERROR(IF($C242="","",$D242*$F242),"")</f>
        <v/>
      </c>
      <c r="H242" s="28" t="n"/>
      <c r="I242" s="38">
        <f>IF($B242="","",SUMIFS(VENTAS!$D$5:$D$504,VENTAS!$B$5:$B$504,INICIO!$C$8,VENTAS!$C$5:$C$504,$B242))</f>
        <v/>
      </c>
      <c r="J242" s="38">
        <f>IF($C242="","",$D242*$I242)</f>
        <v/>
      </c>
    </row>
    <row r="243">
      <c r="A243" s="29" t="n"/>
      <c r="B243" s="28" t="n"/>
      <c r="C243" s="28" t="n"/>
      <c r="D243" s="36" t="n"/>
      <c r="E243" s="15">
        <f>IFERROR(IF($C243="","",INDEX(INSUMOS!$G$5:$G$84,MATCH($C243,INSUMOS!$B$5:$B$84,0))),"")</f>
        <v/>
      </c>
      <c r="F243" s="37">
        <f>IFERROR(IF($C243="","",INDEX(INSUMOS!$I$5:$I$84,MATCH($C243,INSUMOS!$B$5:$B$84,0))),"")</f>
        <v/>
      </c>
      <c r="G243" s="30">
        <f>IFERROR(IF($C243="","",$D243*$F243),"")</f>
        <v/>
      </c>
      <c r="H243" s="28" t="n"/>
      <c r="I243" s="38">
        <f>IF($B243="","",SUMIFS(VENTAS!$D$5:$D$504,VENTAS!$B$5:$B$504,INICIO!$C$8,VENTAS!$C$5:$C$504,$B243))</f>
        <v/>
      </c>
      <c r="J243" s="38">
        <f>IF($C243="","",$D243*$I243)</f>
        <v/>
      </c>
    </row>
    <row r="244">
      <c r="A244" s="29" t="n"/>
      <c r="B244" s="28" t="n"/>
      <c r="C244" s="28" t="n"/>
      <c r="D244" s="36" t="n"/>
      <c r="E244" s="15">
        <f>IFERROR(IF($C244="","",INDEX(INSUMOS!$G$5:$G$84,MATCH($C244,INSUMOS!$B$5:$B$84,0))),"")</f>
        <v/>
      </c>
      <c r="F244" s="37">
        <f>IFERROR(IF($C244="","",INDEX(INSUMOS!$I$5:$I$84,MATCH($C244,INSUMOS!$B$5:$B$84,0))),"")</f>
        <v/>
      </c>
      <c r="G244" s="30">
        <f>IFERROR(IF($C244="","",$D244*$F244),"")</f>
        <v/>
      </c>
      <c r="H244" s="28" t="n"/>
      <c r="I244" s="38">
        <f>IF($B244="","",SUMIFS(VENTAS!$D$5:$D$504,VENTAS!$B$5:$B$504,INICIO!$C$8,VENTAS!$C$5:$C$504,$B244))</f>
        <v/>
      </c>
      <c r="J244" s="38">
        <f>IF($C244="","",$D244*$I244)</f>
        <v/>
      </c>
    </row>
    <row r="245">
      <c r="A245" s="29" t="n"/>
      <c r="B245" s="28" t="n"/>
      <c r="C245" s="28" t="n"/>
      <c r="D245" s="36" t="n"/>
      <c r="E245" s="15">
        <f>IFERROR(IF($C245="","",INDEX(INSUMOS!$G$5:$G$84,MATCH($C245,INSUMOS!$B$5:$B$84,0))),"")</f>
        <v/>
      </c>
      <c r="F245" s="37">
        <f>IFERROR(IF($C245="","",INDEX(INSUMOS!$I$5:$I$84,MATCH($C245,INSUMOS!$B$5:$B$84,0))),"")</f>
        <v/>
      </c>
      <c r="G245" s="30">
        <f>IFERROR(IF($C245="","",$D245*$F245),"")</f>
        <v/>
      </c>
      <c r="H245" s="28" t="n"/>
      <c r="I245" s="38">
        <f>IF($B245="","",SUMIFS(VENTAS!$D$5:$D$504,VENTAS!$B$5:$B$504,INICIO!$C$8,VENTAS!$C$5:$C$504,$B245))</f>
        <v/>
      </c>
      <c r="J245" s="38">
        <f>IF($C245="","",$D245*$I245)</f>
        <v/>
      </c>
    </row>
    <row r="246">
      <c r="A246" s="29" t="n"/>
      <c r="B246" s="28" t="n"/>
      <c r="C246" s="28" t="n"/>
      <c r="D246" s="36" t="n"/>
      <c r="E246" s="15">
        <f>IFERROR(IF($C246="","",INDEX(INSUMOS!$G$5:$G$84,MATCH($C246,INSUMOS!$B$5:$B$84,0))),"")</f>
        <v/>
      </c>
      <c r="F246" s="37">
        <f>IFERROR(IF($C246="","",INDEX(INSUMOS!$I$5:$I$84,MATCH($C246,INSUMOS!$B$5:$B$84,0))),"")</f>
        <v/>
      </c>
      <c r="G246" s="30">
        <f>IFERROR(IF($C246="","",$D246*$F246),"")</f>
        <v/>
      </c>
      <c r="H246" s="28" t="n"/>
      <c r="I246" s="38">
        <f>IF($B246="","",SUMIFS(VENTAS!$D$5:$D$504,VENTAS!$B$5:$B$504,INICIO!$C$8,VENTAS!$C$5:$C$504,$B246))</f>
        <v/>
      </c>
      <c r="J246" s="38">
        <f>IF($C246="","",$D246*$I246)</f>
        <v/>
      </c>
    </row>
    <row r="247">
      <c r="A247" s="29" t="n"/>
      <c r="B247" s="28" t="n"/>
      <c r="C247" s="28" t="n"/>
      <c r="D247" s="36" t="n"/>
      <c r="E247" s="15">
        <f>IFERROR(IF($C247="","",INDEX(INSUMOS!$G$5:$G$84,MATCH($C247,INSUMOS!$B$5:$B$84,0))),"")</f>
        <v/>
      </c>
      <c r="F247" s="37">
        <f>IFERROR(IF($C247="","",INDEX(INSUMOS!$I$5:$I$84,MATCH($C247,INSUMOS!$B$5:$B$84,0))),"")</f>
        <v/>
      </c>
      <c r="G247" s="30">
        <f>IFERROR(IF($C247="","",$D247*$F247),"")</f>
        <v/>
      </c>
      <c r="H247" s="28" t="n"/>
      <c r="I247" s="38">
        <f>IF($B247="","",SUMIFS(VENTAS!$D$5:$D$504,VENTAS!$B$5:$B$504,INICIO!$C$8,VENTAS!$C$5:$C$504,$B247))</f>
        <v/>
      </c>
      <c r="J247" s="38">
        <f>IF($C247="","",$D247*$I247)</f>
        <v/>
      </c>
    </row>
    <row r="248">
      <c r="A248" s="29" t="n"/>
      <c r="B248" s="28" t="n"/>
      <c r="C248" s="28" t="n"/>
      <c r="D248" s="36" t="n"/>
      <c r="E248" s="15">
        <f>IFERROR(IF($C248="","",INDEX(INSUMOS!$G$5:$G$84,MATCH($C248,INSUMOS!$B$5:$B$84,0))),"")</f>
        <v/>
      </c>
      <c r="F248" s="37">
        <f>IFERROR(IF($C248="","",INDEX(INSUMOS!$I$5:$I$84,MATCH($C248,INSUMOS!$B$5:$B$84,0))),"")</f>
        <v/>
      </c>
      <c r="G248" s="30">
        <f>IFERROR(IF($C248="","",$D248*$F248),"")</f>
        <v/>
      </c>
      <c r="H248" s="28" t="n"/>
      <c r="I248" s="38">
        <f>IF($B248="","",SUMIFS(VENTAS!$D$5:$D$504,VENTAS!$B$5:$B$504,INICIO!$C$8,VENTAS!$C$5:$C$504,$B248))</f>
        <v/>
      </c>
      <c r="J248" s="38">
        <f>IF($C248="","",$D248*$I248)</f>
        <v/>
      </c>
    </row>
    <row r="249">
      <c r="A249" s="29" t="n"/>
      <c r="B249" s="28" t="n"/>
      <c r="C249" s="28" t="n"/>
      <c r="D249" s="36" t="n"/>
      <c r="E249" s="15">
        <f>IFERROR(IF($C249="","",INDEX(INSUMOS!$G$5:$G$84,MATCH($C249,INSUMOS!$B$5:$B$84,0))),"")</f>
        <v/>
      </c>
      <c r="F249" s="37">
        <f>IFERROR(IF($C249="","",INDEX(INSUMOS!$I$5:$I$84,MATCH($C249,INSUMOS!$B$5:$B$84,0))),"")</f>
        <v/>
      </c>
      <c r="G249" s="30">
        <f>IFERROR(IF($C249="","",$D249*$F249),"")</f>
        <v/>
      </c>
      <c r="H249" s="28" t="n"/>
      <c r="I249" s="38">
        <f>IF($B249="","",SUMIFS(VENTAS!$D$5:$D$504,VENTAS!$B$5:$B$504,INICIO!$C$8,VENTAS!$C$5:$C$504,$B249))</f>
        <v/>
      </c>
      <c r="J249" s="38">
        <f>IF($C249="","",$D249*$I249)</f>
        <v/>
      </c>
    </row>
    <row r="250">
      <c r="A250" s="29" t="n"/>
      <c r="B250" s="28" t="n"/>
      <c r="C250" s="28" t="n"/>
      <c r="D250" s="36" t="n"/>
      <c r="E250" s="15">
        <f>IFERROR(IF($C250="","",INDEX(INSUMOS!$G$5:$G$84,MATCH($C250,INSUMOS!$B$5:$B$84,0))),"")</f>
        <v/>
      </c>
      <c r="F250" s="37">
        <f>IFERROR(IF($C250="","",INDEX(INSUMOS!$I$5:$I$84,MATCH($C250,INSUMOS!$B$5:$B$84,0))),"")</f>
        <v/>
      </c>
      <c r="G250" s="30">
        <f>IFERROR(IF($C250="","",$D250*$F250),"")</f>
        <v/>
      </c>
      <c r="H250" s="28" t="n"/>
      <c r="I250" s="38">
        <f>IF($B250="","",SUMIFS(VENTAS!$D$5:$D$504,VENTAS!$B$5:$B$504,INICIO!$C$8,VENTAS!$C$5:$C$504,$B250))</f>
        <v/>
      </c>
      <c r="J250" s="38">
        <f>IF($C250="","",$D250*$I250)</f>
        <v/>
      </c>
    </row>
    <row r="251">
      <c r="A251" s="29" t="n"/>
      <c r="B251" s="28" t="n"/>
      <c r="C251" s="28" t="n"/>
      <c r="D251" s="36" t="n"/>
      <c r="E251" s="15">
        <f>IFERROR(IF($C251="","",INDEX(INSUMOS!$G$5:$G$84,MATCH($C251,INSUMOS!$B$5:$B$84,0))),"")</f>
        <v/>
      </c>
      <c r="F251" s="37">
        <f>IFERROR(IF($C251="","",INDEX(INSUMOS!$I$5:$I$84,MATCH($C251,INSUMOS!$B$5:$B$84,0))),"")</f>
        <v/>
      </c>
      <c r="G251" s="30">
        <f>IFERROR(IF($C251="","",$D251*$F251),"")</f>
        <v/>
      </c>
      <c r="H251" s="28" t="n"/>
      <c r="I251" s="38">
        <f>IF($B251="","",SUMIFS(VENTAS!$D$5:$D$504,VENTAS!$B$5:$B$504,INICIO!$C$8,VENTAS!$C$5:$C$504,$B251))</f>
        <v/>
      </c>
      <c r="J251" s="38">
        <f>IF($C251="","",$D251*$I251)</f>
        <v/>
      </c>
    </row>
    <row r="252">
      <c r="A252" s="29" t="n"/>
      <c r="B252" s="28" t="n"/>
      <c r="C252" s="28" t="n"/>
      <c r="D252" s="36" t="n"/>
      <c r="E252" s="15">
        <f>IFERROR(IF($C252="","",INDEX(INSUMOS!$G$5:$G$84,MATCH($C252,INSUMOS!$B$5:$B$84,0))),"")</f>
        <v/>
      </c>
      <c r="F252" s="37">
        <f>IFERROR(IF($C252="","",INDEX(INSUMOS!$I$5:$I$84,MATCH($C252,INSUMOS!$B$5:$B$84,0))),"")</f>
        <v/>
      </c>
      <c r="G252" s="30">
        <f>IFERROR(IF($C252="","",$D252*$F252),"")</f>
        <v/>
      </c>
      <c r="H252" s="28" t="n"/>
      <c r="I252" s="38">
        <f>IF($B252="","",SUMIFS(VENTAS!$D$5:$D$504,VENTAS!$B$5:$B$504,INICIO!$C$8,VENTAS!$C$5:$C$504,$B252))</f>
        <v/>
      </c>
      <c r="J252" s="38">
        <f>IF($C252="","",$D252*$I252)</f>
        <v/>
      </c>
    </row>
    <row r="253">
      <c r="A253" s="29" t="n"/>
      <c r="B253" s="28" t="n"/>
      <c r="C253" s="28" t="n"/>
      <c r="D253" s="36" t="n"/>
      <c r="E253" s="15">
        <f>IFERROR(IF($C253="","",INDEX(INSUMOS!$G$5:$G$84,MATCH($C253,INSUMOS!$B$5:$B$84,0))),"")</f>
        <v/>
      </c>
      <c r="F253" s="37">
        <f>IFERROR(IF($C253="","",INDEX(INSUMOS!$I$5:$I$84,MATCH($C253,INSUMOS!$B$5:$B$84,0))),"")</f>
        <v/>
      </c>
      <c r="G253" s="30">
        <f>IFERROR(IF($C253="","",$D253*$F253),"")</f>
        <v/>
      </c>
      <c r="H253" s="28" t="n"/>
      <c r="I253" s="38">
        <f>IF($B253="","",SUMIFS(VENTAS!$D$5:$D$504,VENTAS!$B$5:$B$504,INICIO!$C$8,VENTAS!$C$5:$C$504,$B253))</f>
        <v/>
      </c>
      <c r="J253" s="38">
        <f>IF($C253="","",$D253*$I253)</f>
        <v/>
      </c>
    </row>
    <row r="254">
      <c r="A254" s="29" t="n"/>
      <c r="B254" s="28" t="n"/>
      <c r="C254" s="28" t="n"/>
      <c r="D254" s="36" t="n"/>
      <c r="E254" s="15">
        <f>IFERROR(IF($C254="","",INDEX(INSUMOS!$G$5:$G$84,MATCH($C254,INSUMOS!$B$5:$B$84,0))),"")</f>
        <v/>
      </c>
      <c r="F254" s="37">
        <f>IFERROR(IF($C254="","",INDEX(INSUMOS!$I$5:$I$84,MATCH($C254,INSUMOS!$B$5:$B$84,0))),"")</f>
        <v/>
      </c>
      <c r="G254" s="30">
        <f>IFERROR(IF($C254="","",$D254*$F254),"")</f>
        <v/>
      </c>
      <c r="H254" s="28" t="n"/>
      <c r="I254" s="38">
        <f>IF($B254="","",SUMIFS(VENTAS!$D$5:$D$504,VENTAS!$B$5:$B$504,INICIO!$C$8,VENTAS!$C$5:$C$504,$B254))</f>
        <v/>
      </c>
      <c r="J254" s="38">
        <f>IF($C254="","",$D254*$I254)</f>
        <v/>
      </c>
    </row>
  </sheetData>
  <dataValidations count="2">
    <dataValidation sqref="C5:C254" showDropDown="0" showInputMessage="0" showErrorMessage="0" allowBlank="1" errorTitle="Insumo no valido" error="Ese insumo no existe. Agregalo primero en la hoja INSUMOS." type="list">
      <formula1>=INSUMOS!$B$5:$B$84</formula1>
    </dataValidation>
    <dataValidation sqref="B5:B254" showDropDown="0" showInputMessage="0" showErrorMessage="0" allowBlank="1" errorTitle="Producto no valido" error="Ese producto no existe. Creálo primero en la hoja PRODUCTOS." type="list">
      <formula1>=PRODUCTOS!$B$5:$B$44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3864"/>
    <outlinePr summaryBelow="1" summaryRight="1"/>
    <pageSetUpPr/>
  </sheetPr>
  <dimension ref="A1:K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20" customWidth="1" min="4" max="4"/>
    <col width="14" customWidth="1" min="5" max="5"/>
    <col width="16" customWidth="1" min="6" max="6"/>
    <col width="12" customWidth="1" min="7" max="7"/>
    <col width="11" customWidth="1" min="8" max="8"/>
    <col width="17" customWidth="1" min="9" max="9"/>
    <col width="18" customWidth="1" min="10" max="10"/>
    <col width="34" customWidth="1" min="11" max="11"/>
  </cols>
  <sheetData>
    <row r="1" ht="24" customHeight="1">
      <c r="A1" s="1" t="inlineStr">
        <is>
          <t>INSUMOS</t>
        </is>
      </c>
    </row>
    <row r="2">
      <c r="A2" s="2" t="inlineStr">
        <is>
          <t>Todo lo que compras. Cambia un precio aqui y se recalculan TODOS los costos, margenes y precios sugeridos.</t>
        </is>
      </c>
    </row>
    <row r="4" ht="30" customHeight="1">
      <c r="A4" s="25" t="inlineStr">
        <is>
          <t>ID</t>
        </is>
      </c>
      <c r="B4" s="25" t="inlineStr">
        <is>
          <t>Insumo</t>
        </is>
      </c>
      <c r="C4" s="25" t="inlineStr">
        <is>
          <t>Categoria</t>
        </is>
      </c>
      <c r="D4" s="25" t="inlineStr">
        <is>
          <t>Unidad de compra</t>
        </is>
      </c>
      <c r="E4" s="25" t="inlineStr">
        <is>
          <t>Precio de compra</t>
        </is>
      </c>
      <c r="F4" s="25" t="inlineStr">
        <is>
          <t>Contenido (en unidad base)</t>
        </is>
      </c>
      <c r="G4" s="25" t="inlineStr">
        <is>
          <t>Unidad base</t>
        </is>
      </c>
      <c r="H4" s="25" t="inlineStr">
        <is>
          <t>IVA compra %</t>
        </is>
      </c>
      <c r="I4" s="25" t="inlineStr">
        <is>
          <t>COSTO POR UNIDAD BASE</t>
        </is>
      </c>
      <c r="J4" s="25" t="inlineStr">
        <is>
          <t>Proveedor</t>
        </is>
      </c>
      <c r="K4" s="25" t="inlineStr">
        <is>
          <t>Notas</t>
        </is>
      </c>
    </row>
    <row r="5">
      <c r="A5" s="29" t="n">
        <v>1</v>
      </c>
      <c r="B5" s="28" t="inlineStr">
        <is>
          <t>Jarabe Coco</t>
        </is>
      </c>
      <c r="C5" s="28" t="inlineStr">
        <is>
          <t>Jarabe</t>
        </is>
      </c>
      <c r="D5" s="28" t="inlineStr">
        <is>
          <t>Galon</t>
        </is>
      </c>
      <c r="E5" s="31" t="n">
        <v>10</v>
      </c>
      <c r="F5" s="36" t="n">
        <v>3785</v>
      </c>
      <c r="G5" s="28" t="inlineStr">
        <is>
          <t>ml</t>
        </is>
      </c>
      <c r="H5" s="39" t="n">
        <v>0.15</v>
      </c>
      <c r="I5" s="40">
        <f>IFERROR(IF($B5="","",IF(INICIO!$C$6="SI",$E5/(1+$H5),$E5)/$F5),"")</f>
        <v/>
      </c>
      <c r="J5" s="28" t="inlineStr">
        <is>
          <t>Proveedor local</t>
        </is>
      </c>
      <c r="K5" s="28" t="inlineStr">
        <is>
          <t>Dilucion 1:3 · rinde ~60 vasos</t>
        </is>
      </c>
    </row>
    <row r="6">
      <c r="A6" s="29" t="n">
        <v>2</v>
      </c>
      <c r="B6" s="28" t="inlineStr">
        <is>
          <t>Jarabe Frutos Rojos</t>
        </is>
      </c>
      <c r="C6" s="28" t="inlineStr">
        <is>
          <t>Jarabe</t>
        </is>
      </c>
      <c r="D6" s="28" t="inlineStr">
        <is>
          <t>Galon</t>
        </is>
      </c>
      <c r="E6" s="31" t="n">
        <v>10</v>
      </c>
      <c r="F6" s="36" t="n">
        <v>3785</v>
      </c>
      <c r="G6" s="28" t="inlineStr">
        <is>
          <t>ml</t>
        </is>
      </c>
      <c r="H6" s="39" t="n">
        <v>0.15</v>
      </c>
      <c r="I6" s="40">
        <f>IFERROR(IF($B6="","",IF(INICIO!$C$6="SI",$E6/(1+$H6),$E6)/$F6),"")</f>
        <v/>
      </c>
      <c r="J6" s="28" t="inlineStr">
        <is>
          <t>Proveedor local</t>
        </is>
      </c>
      <c r="K6" s="28" t="inlineStr">
        <is>
          <t>Dilucion 1:3</t>
        </is>
      </c>
    </row>
    <row r="7">
      <c r="A7" s="29" t="n">
        <v>3</v>
      </c>
      <c r="B7" s="28" t="inlineStr">
        <is>
          <t>Jarabe Maracuya</t>
        </is>
      </c>
      <c r="C7" s="28" t="inlineStr">
        <is>
          <t>Jarabe</t>
        </is>
      </c>
      <c r="D7" s="28" t="inlineStr">
        <is>
          <t>Galon</t>
        </is>
      </c>
      <c r="E7" s="31" t="n">
        <v>10</v>
      </c>
      <c r="F7" s="36" t="n">
        <v>3785</v>
      </c>
      <c r="G7" s="28" t="inlineStr">
        <is>
          <t>ml</t>
        </is>
      </c>
      <c r="H7" s="39" t="n">
        <v>0.15</v>
      </c>
      <c r="I7" s="40">
        <f>IFERROR(IF($B7="","",IF(INICIO!$C$6="SI",$E7/(1+$H7),$E7)/$F7),"")</f>
        <v/>
      </c>
      <c r="J7" s="28" t="inlineStr">
        <is>
          <t>Proveedor local</t>
        </is>
      </c>
      <c r="K7" s="28" t="inlineStr">
        <is>
          <t>Dilucion 1:3</t>
        </is>
      </c>
    </row>
    <row r="8">
      <c r="A8" s="29" t="n">
        <v>4</v>
      </c>
      <c r="B8" s="28" t="inlineStr">
        <is>
          <t>Jarabe Naranja</t>
        </is>
      </c>
      <c r="C8" s="28" t="inlineStr">
        <is>
          <t>Jarabe</t>
        </is>
      </c>
      <c r="D8" s="28" t="inlineStr">
        <is>
          <t>Galon</t>
        </is>
      </c>
      <c r="E8" s="31" t="n">
        <v>10</v>
      </c>
      <c r="F8" s="36" t="n">
        <v>3785</v>
      </c>
      <c r="G8" s="28" t="inlineStr">
        <is>
          <t>ml</t>
        </is>
      </c>
      <c r="H8" s="39" t="n">
        <v>0.15</v>
      </c>
      <c r="I8" s="40">
        <f>IFERROR(IF($B8="","",IF(INICIO!$C$6="SI",$E8/(1+$H8),$E8)/$F8),"")</f>
        <v/>
      </c>
      <c r="J8" s="28" t="inlineStr">
        <is>
          <t>Proveedor local</t>
        </is>
      </c>
      <c r="K8" s="28" t="inlineStr">
        <is>
          <t>Dilucion 1:3</t>
        </is>
      </c>
    </row>
    <row r="9">
      <c r="A9" s="29" t="n">
        <v>5</v>
      </c>
      <c r="B9" s="28" t="inlineStr">
        <is>
          <t>Agua purificada</t>
        </is>
      </c>
      <c r="C9" s="28" t="inlineStr">
        <is>
          <t>Base</t>
        </is>
      </c>
      <c r="D9" s="28" t="inlineStr">
        <is>
          <t>Botellon 20L</t>
        </is>
      </c>
      <c r="E9" s="31" t="n">
        <v>2</v>
      </c>
      <c r="F9" s="36" t="n">
        <v>20000</v>
      </c>
      <c r="G9" s="28" t="inlineStr">
        <is>
          <t>ml</t>
        </is>
      </c>
      <c r="H9" s="39" t="n">
        <v>0</v>
      </c>
      <c r="I9" s="40">
        <f>IFERROR(IF($B9="","",IF(INICIO!$C$6="SI",$E9/(1+$H9),$E9)/$F9),"")</f>
        <v/>
      </c>
      <c r="J9" s="28" t="inlineStr"/>
      <c r="K9" s="28" t="inlineStr">
        <is>
          <t>Para dilucion de jarabes</t>
        </is>
      </c>
    </row>
    <row r="10">
      <c r="A10" s="29" t="n">
        <v>6</v>
      </c>
      <c r="B10" s="28" t="inlineStr">
        <is>
          <t>Energia maquina granizadora</t>
        </is>
      </c>
      <c r="C10" s="28" t="inlineStr">
        <is>
          <t>Base</t>
        </is>
      </c>
      <c r="D10" s="28" t="inlineStr">
        <is>
          <t>Por vaso</t>
        </is>
      </c>
      <c r="E10" s="31" t="n">
        <v>0.02</v>
      </c>
      <c r="F10" s="36" t="n">
        <v>1</v>
      </c>
      <c r="G10" s="28" t="inlineStr">
        <is>
          <t>vaso</t>
        </is>
      </c>
      <c r="H10" s="39" t="n">
        <v>0</v>
      </c>
      <c r="I10" s="40">
        <f>IFERROR(IF($B10="","",IF(INICIO!$C$6="SI",$E10/(1+$H10),$E10)/$F10),"")</f>
        <v/>
      </c>
      <c r="J10" s="28" t="inlineStr"/>
      <c r="K10" s="28" t="inlineStr">
        <is>
          <t>ESTIMADO. Ajustar con planilla de luz real</t>
        </is>
      </c>
    </row>
    <row r="11">
      <c r="A11" s="29" t="n">
        <v>7</v>
      </c>
      <c r="B11" s="28" t="inlineStr">
        <is>
          <t>Hielo en cubos</t>
        </is>
      </c>
      <c r="C11" s="28" t="inlineStr">
        <is>
          <t>Base</t>
        </is>
      </c>
      <c r="D11" s="28" t="inlineStr">
        <is>
          <t>Bolsa 5 lb</t>
        </is>
      </c>
      <c r="E11" s="31" t="n">
        <v>0.75</v>
      </c>
      <c r="F11" s="36" t="n">
        <v>2268</v>
      </c>
      <c r="G11" s="28" t="inlineStr">
        <is>
          <t>g</t>
        </is>
      </c>
      <c r="H11" s="39" t="n">
        <v>0</v>
      </c>
      <c r="I11" s="40">
        <f>IFERROR(IF($B11="","",IF(INICIO!$C$6="SI",$E11/(1+$H11),$E11)/$F11),"")</f>
        <v/>
      </c>
      <c r="J11" s="28" t="inlineStr"/>
      <c r="K11" s="28" t="inlineStr">
        <is>
          <t>PENDIENTE confirmar proveedor en Machala</t>
        </is>
      </c>
    </row>
    <row r="12">
      <c r="A12" s="29" t="n">
        <v>8</v>
      </c>
      <c r="B12" s="28" t="inlineStr">
        <is>
          <t>Leche entera</t>
        </is>
      </c>
      <c r="C12" s="28" t="inlineStr">
        <is>
          <t>Lacteos</t>
        </is>
      </c>
      <c r="D12" s="28" t="inlineStr">
        <is>
          <t>Litro</t>
        </is>
      </c>
      <c r="E12" s="31" t="n">
        <v>1.1</v>
      </c>
      <c r="F12" s="36" t="n">
        <v>1000</v>
      </c>
      <c r="G12" s="28" t="inlineStr">
        <is>
          <t>ml</t>
        </is>
      </c>
      <c r="H12" s="39" t="n">
        <v>0</v>
      </c>
      <c r="I12" s="40">
        <f>IFERROR(IF($B12="","",IF(INICIO!$C$6="SI",$E12/(1+$H12),$E12)/$F12),"")</f>
        <v/>
      </c>
      <c r="J12" s="28" t="inlineStr"/>
      <c r="K12" s="28" t="inlineStr"/>
    </row>
    <row r="13">
      <c r="A13" s="29" t="n">
        <v>9</v>
      </c>
      <c r="B13" s="28" t="inlineStr">
        <is>
          <t>Leche condensada</t>
        </is>
      </c>
      <c r="C13" s="28" t="inlineStr">
        <is>
          <t>Lacteos</t>
        </is>
      </c>
      <c r="D13" s="28" t="inlineStr">
        <is>
          <t>Lata 395g</t>
        </is>
      </c>
      <c r="E13" s="31" t="n">
        <v>1.6</v>
      </c>
      <c r="F13" s="36" t="n">
        <v>395</v>
      </c>
      <c r="G13" s="28" t="inlineStr">
        <is>
          <t>ml</t>
        </is>
      </c>
      <c r="H13" s="39" t="n">
        <v>0.15</v>
      </c>
      <c r="I13" s="40">
        <f>IFERROR(IF($B13="","",IF(INICIO!$C$6="SI",$E13/(1+$H13),$E13)/$F13),"")</f>
        <v/>
      </c>
      <c r="J13" s="28" t="inlineStr"/>
      <c r="K13" s="28" t="inlineStr"/>
    </row>
    <row r="14">
      <c r="A14" s="29" t="n">
        <v>10</v>
      </c>
      <c r="B14" s="28" t="inlineStr">
        <is>
          <t>Crema de leche</t>
        </is>
      </c>
      <c r="C14" s="28" t="inlineStr">
        <is>
          <t>Lacteos</t>
        </is>
      </c>
      <c r="D14" s="28" t="inlineStr">
        <is>
          <t>Tetra 250ml</t>
        </is>
      </c>
      <c r="E14" s="31" t="n">
        <v>1.4</v>
      </c>
      <c r="F14" s="36" t="n">
        <v>250</v>
      </c>
      <c r="G14" s="28" t="inlineStr">
        <is>
          <t>ml</t>
        </is>
      </c>
      <c r="H14" s="39" t="n">
        <v>0.15</v>
      </c>
      <c r="I14" s="40">
        <f>IFERROR(IF($B14="","",IF(INICIO!$C$6="SI",$E14/(1+$H14),$E14)/$F14),"")</f>
        <v/>
      </c>
      <c r="J14" s="28" t="inlineStr"/>
      <c r="K14" s="28" t="inlineStr">
        <is>
          <t>Opcional en Oreo</t>
        </is>
      </c>
    </row>
    <row r="15">
      <c r="A15" s="29" t="n">
        <v>11</v>
      </c>
      <c r="B15" s="28" t="inlineStr">
        <is>
          <t>Galleta Oreo</t>
        </is>
      </c>
      <c r="C15" s="28" t="inlineStr">
        <is>
          <t>Insumo especial</t>
        </is>
      </c>
      <c r="D15" s="28" t="inlineStr">
        <is>
          <t>Paquete 36 u</t>
        </is>
      </c>
      <c r="E15" s="31" t="n">
        <v>3.2</v>
      </c>
      <c r="F15" s="36" t="n">
        <v>36</v>
      </c>
      <c r="G15" s="28" t="inlineStr">
        <is>
          <t>unidad</t>
        </is>
      </c>
      <c r="H15" s="39" t="n">
        <v>0.15</v>
      </c>
      <c r="I15" s="40">
        <f>IFERROR(IF($B15="","",IF(INICIO!$C$6="SI",$E15/(1+$H15),$E15)/$F15),"")</f>
        <v/>
      </c>
      <c r="J15" s="28" t="inlineStr"/>
      <c r="K15" s="28" t="inlineStr"/>
    </row>
    <row r="16">
      <c r="A16" s="29" t="n">
        <v>12</v>
      </c>
      <c r="B16" s="28" t="inlineStr">
        <is>
          <t>Nutella</t>
        </is>
      </c>
      <c r="C16" s="28" t="inlineStr">
        <is>
          <t>Insumo especial</t>
        </is>
      </c>
      <c r="D16" s="28" t="inlineStr">
        <is>
          <t>Frasco 350g</t>
        </is>
      </c>
      <c r="E16" s="31" t="n">
        <v>5.6</v>
      </c>
      <c r="F16" s="36" t="n">
        <v>350</v>
      </c>
      <c r="G16" s="28" t="inlineStr">
        <is>
          <t>g</t>
        </is>
      </c>
      <c r="H16" s="39" t="n">
        <v>0.15</v>
      </c>
      <c r="I16" s="40">
        <f>IFERROR(IF($B16="","",IF(INICIO!$C$6="SI",$E16/(1+$H16),$E16)/$F16),"")</f>
        <v/>
      </c>
      <c r="J16" s="28" t="inlineStr"/>
      <c r="K16" s="28" t="inlineStr">
        <is>
          <t>PENDIENTE precio al por mayor</t>
        </is>
      </c>
    </row>
    <row r="17">
      <c r="A17" s="29" t="n">
        <v>13</v>
      </c>
      <c r="B17" s="28" t="inlineStr">
        <is>
          <t>Cafe soluble</t>
        </is>
      </c>
      <c r="C17" s="28" t="inlineStr">
        <is>
          <t>Insumo especial</t>
        </is>
      </c>
      <c r="D17" s="28" t="inlineStr">
        <is>
          <t>Frasco 170g</t>
        </is>
      </c>
      <c r="E17" s="31" t="n">
        <v>4.5</v>
      </c>
      <c r="F17" s="36" t="n">
        <v>170</v>
      </c>
      <c r="G17" s="28" t="inlineStr">
        <is>
          <t>g</t>
        </is>
      </c>
      <c r="H17" s="39" t="n">
        <v>0.15</v>
      </c>
      <c r="I17" s="40">
        <f>IFERROR(IF($B17="","",IF(INICIO!$C$6="SI",$E17/(1+$H17),$E17)/$F17),"")</f>
        <v/>
      </c>
      <c r="J17" s="28" t="inlineStr"/>
      <c r="K17" s="28" t="inlineStr"/>
    </row>
    <row r="18">
      <c r="A18" s="29" t="n">
        <v>14</v>
      </c>
      <c r="B18" s="28" t="inlineStr">
        <is>
          <t>Azucar</t>
        </is>
      </c>
      <c r="C18" s="28" t="inlineStr">
        <is>
          <t>Insumo especial</t>
        </is>
      </c>
      <c r="D18" s="28" t="inlineStr">
        <is>
          <t>Funda 2 kg</t>
        </is>
      </c>
      <c r="E18" s="31" t="n">
        <v>2.2</v>
      </c>
      <c r="F18" s="36" t="n">
        <v>2000</v>
      </c>
      <c r="G18" s="28" t="inlineStr">
        <is>
          <t>g</t>
        </is>
      </c>
      <c r="H18" s="39" t="n">
        <v>0</v>
      </c>
      <c r="I18" s="40">
        <f>IFERROR(IF($B18="","",IF(INICIO!$C$6="SI",$E18/(1+$H18),$E18)/$F18),"")</f>
        <v/>
      </c>
      <c r="J18" s="28" t="inlineStr"/>
      <c r="K18" s="28" t="inlineStr"/>
    </row>
    <row r="19">
      <c r="A19" s="29" t="n">
        <v>15</v>
      </c>
      <c r="B19" s="28" t="inlineStr">
        <is>
          <t>Vodka / Aguardiente</t>
        </is>
      </c>
      <c r="C19" s="28" t="inlineStr">
        <is>
          <t>Alcohol</t>
        </is>
      </c>
      <c r="D19" s="28" t="inlineStr">
        <is>
          <t>Botella 750ml</t>
        </is>
      </c>
      <c r="E19" s="31" t="n">
        <v>8</v>
      </c>
      <c r="F19" s="36" t="n">
        <v>750</v>
      </c>
      <c r="G19" s="28" t="inlineStr">
        <is>
          <t>ml</t>
        </is>
      </c>
      <c r="H19" s="39" t="n">
        <v>0.15</v>
      </c>
      <c r="I19" s="40">
        <f>IFERROR(IF($B19="","",IF(INICIO!$C$6="SI",$E19/(1+$H19),$E19)/$F19),"")</f>
        <v/>
      </c>
      <c r="J19" s="28" t="inlineStr"/>
      <c r="K19" s="28" t="inlineStr">
        <is>
          <t>Porcion estandar 30ml</t>
        </is>
      </c>
    </row>
    <row r="20">
      <c r="A20" s="29" t="n">
        <v>16</v>
      </c>
      <c r="B20" s="28" t="inlineStr">
        <is>
          <t>Papa</t>
        </is>
      </c>
      <c r="C20" s="28" t="inlineStr">
        <is>
          <t>Comida</t>
        </is>
      </c>
      <c r="D20" s="28" t="inlineStr">
        <is>
          <t>Quintal / 10 lb</t>
        </is>
      </c>
      <c r="E20" s="31" t="n">
        <v>5</v>
      </c>
      <c r="F20" s="36" t="n">
        <v>4536</v>
      </c>
      <c r="G20" s="28" t="inlineStr">
        <is>
          <t>g</t>
        </is>
      </c>
      <c r="H20" s="39" t="n">
        <v>0</v>
      </c>
      <c r="I20" s="40">
        <f>IFERROR(IF($B20="","",IF(INICIO!$C$6="SI",$E20/(1+$H20),$E20)/$F20),"")</f>
        <v/>
      </c>
      <c r="J20" s="28" t="inlineStr"/>
      <c r="K20" s="28" t="inlineStr">
        <is>
          <t>~200g por cono</t>
        </is>
      </c>
    </row>
    <row r="21">
      <c r="A21" s="29" t="n">
        <v>17</v>
      </c>
      <c r="B21" s="28" t="inlineStr">
        <is>
          <t>Aceite de freir</t>
        </is>
      </c>
      <c r="C21" s="28" t="inlineStr">
        <is>
          <t>Comida</t>
        </is>
      </c>
      <c r="D21" s="28" t="inlineStr">
        <is>
          <t>Botella 1 L</t>
        </is>
      </c>
      <c r="E21" s="31" t="n">
        <v>2.2</v>
      </c>
      <c r="F21" s="36" t="n">
        <v>1000</v>
      </c>
      <c r="G21" s="28" t="inlineStr">
        <is>
          <t>ml</t>
        </is>
      </c>
      <c r="H21" s="39" t="n">
        <v>0.15</v>
      </c>
      <c r="I21" s="40">
        <f>IFERROR(IF($B21="","",IF(INICIO!$C$6="SI",$E21/(1+$H21),$E21)/$F21),"")</f>
        <v/>
      </c>
      <c r="J21" s="28" t="inlineStr"/>
      <c r="K21" s="28" t="inlineStr">
        <is>
          <t>Absorcion estimada por cono</t>
        </is>
      </c>
    </row>
    <row r="22">
      <c r="A22" s="29" t="n">
        <v>18</v>
      </c>
      <c r="B22" s="28" t="inlineStr">
        <is>
          <t>Sal y condimentos</t>
        </is>
      </c>
      <c r="C22" s="28" t="inlineStr">
        <is>
          <t>Comida</t>
        </is>
      </c>
      <c r="D22" s="28" t="inlineStr">
        <is>
          <t>Funda 500g</t>
        </is>
      </c>
      <c r="E22" s="31" t="n">
        <v>0.8</v>
      </c>
      <c r="F22" s="36" t="n">
        <v>500</v>
      </c>
      <c r="G22" s="28" t="inlineStr">
        <is>
          <t>g</t>
        </is>
      </c>
      <c r="H22" s="39" t="n">
        <v>0</v>
      </c>
      <c r="I22" s="40">
        <f>IFERROR(IF($B22="","",IF(INICIO!$C$6="SI",$E22/(1+$H22),$E22)/$F22),"")</f>
        <v/>
      </c>
      <c r="J22" s="28" t="inlineStr"/>
      <c r="K22" s="28" t="inlineStr"/>
    </row>
    <row r="23">
      <c r="A23" s="29" t="n">
        <v>19</v>
      </c>
      <c r="B23" s="28" t="inlineStr">
        <is>
          <t>Salsa porcion (sachet)</t>
        </is>
      </c>
      <c r="C23" s="28" t="inlineStr">
        <is>
          <t>Comida</t>
        </is>
      </c>
      <c r="D23" s="28" t="inlineStr">
        <is>
          <t>Caja 100 u</t>
        </is>
      </c>
      <c r="E23" s="31" t="n">
        <v>6</v>
      </c>
      <c r="F23" s="36" t="n">
        <v>100</v>
      </c>
      <c r="G23" s="28" t="inlineStr">
        <is>
          <t>unidad</t>
        </is>
      </c>
      <c r="H23" s="39" t="n">
        <v>0.15</v>
      </c>
      <c r="I23" s="40">
        <f>IFERROR(IF($B23="","",IF(INICIO!$C$6="SI",$E23/(1+$H23),$E23)/$F23),"")</f>
        <v/>
      </c>
      <c r="J23" s="28" t="inlineStr"/>
      <c r="K23" s="28" t="inlineStr"/>
    </row>
    <row r="24">
      <c r="A24" s="29" t="n">
        <v>20</v>
      </c>
      <c r="B24" s="28" t="inlineStr">
        <is>
          <t>Vaso 12 oz</t>
        </is>
      </c>
      <c r="C24" s="28" t="inlineStr">
        <is>
          <t>Descartable</t>
        </is>
      </c>
      <c r="D24" s="28" t="inlineStr">
        <is>
          <t>Paquete 50 u</t>
        </is>
      </c>
      <c r="E24" s="31" t="n">
        <v>3.5</v>
      </c>
      <c r="F24" s="36" t="n">
        <v>50</v>
      </c>
      <c r="G24" s="28" t="inlineStr">
        <is>
          <t>unidad</t>
        </is>
      </c>
      <c r="H24" s="39" t="n">
        <v>0.15</v>
      </c>
      <c r="I24" s="40">
        <f>IFERROR(IF($B24="","",IF(INICIO!$C$6="SI",$E24/(1+$H24),$E24)/$F24),"")</f>
        <v/>
      </c>
      <c r="J24" s="28" t="inlineStr"/>
      <c r="K24" s="28" t="inlineStr"/>
    </row>
    <row r="25">
      <c r="A25" s="29" t="n">
        <v>21</v>
      </c>
      <c r="B25" s="28" t="inlineStr">
        <is>
          <t>Tapa domo 12 oz</t>
        </is>
      </c>
      <c r="C25" s="28" t="inlineStr">
        <is>
          <t>Descartable</t>
        </is>
      </c>
      <c r="D25" s="28" t="inlineStr">
        <is>
          <t>Paquete 50 u</t>
        </is>
      </c>
      <c r="E25" s="31" t="n">
        <v>1.5</v>
      </c>
      <c r="F25" s="36" t="n">
        <v>50</v>
      </c>
      <c r="G25" s="28" t="inlineStr">
        <is>
          <t>unidad</t>
        </is>
      </c>
      <c r="H25" s="39" t="n">
        <v>0.15</v>
      </c>
      <c r="I25" s="40">
        <f>IFERROR(IF($B25="","",IF(INICIO!$C$6="SI",$E25/(1+$H25),$E25)/$F25),"")</f>
        <v/>
      </c>
      <c r="J25" s="28" t="inlineStr"/>
      <c r="K25" s="28" t="inlineStr"/>
    </row>
    <row r="26">
      <c r="A26" s="29" t="n">
        <v>22</v>
      </c>
      <c r="B26" s="28" t="inlineStr">
        <is>
          <t>Pitillo</t>
        </is>
      </c>
      <c r="C26" s="28" t="inlineStr">
        <is>
          <t>Descartable</t>
        </is>
      </c>
      <c r="D26" s="28" t="inlineStr">
        <is>
          <t>Paquete 100 u</t>
        </is>
      </c>
      <c r="E26" s="31" t="n">
        <v>1</v>
      </c>
      <c r="F26" s="36" t="n">
        <v>100</v>
      </c>
      <c r="G26" s="28" t="inlineStr">
        <is>
          <t>unidad</t>
        </is>
      </c>
      <c r="H26" s="39" t="n">
        <v>0.15</v>
      </c>
      <c r="I26" s="40">
        <f>IFERROR(IF($B26="","",IF(INICIO!$C$6="SI",$E26/(1+$H26),$E26)/$F26),"")</f>
        <v/>
      </c>
      <c r="J26" s="28" t="inlineStr"/>
      <c r="K26" s="28" t="inlineStr"/>
    </row>
    <row r="27">
      <c r="A27" s="29" t="n">
        <v>23</v>
      </c>
      <c r="B27" s="28" t="inlineStr">
        <is>
          <t>Servilleta</t>
        </is>
      </c>
      <c r="C27" s="28" t="inlineStr">
        <is>
          <t>Descartable</t>
        </is>
      </c>
      <c r="D27" s="28" t="inlineStr">
        <is>
          <t>Paquete 500 u</t>
        </is>
      </c>
      <c r="E27" s="31" t="n">
        <v>1.5</v>
      </c>
      <c r="F27" s="36" t="n">
        <v>500</v>
      </c>
      <c r="G27" s="28" t="inlineStr">
        <is>
          <t>unidad</t>
        </is>
      </c>
      <c r="H27" s="39" t="n">
        <v>0.15</v>
      </c>
      <c r="I27" s="40">
        <f>IFERROR(IF($B27="","",IF(INICIO!$C$6="SI",$E27/(1+$H27),$E27)/$F27),"")</f>
        <v/>
      </c>
      <c r="J27" s="28" t="inlineStr"/>
      <c r="K27" s="28" t="inlineStr"/>
    </row>
    <row r="28">
      <c r="A28" s="29" t="n">
        <v>24</v>
      </c>
      <c r="B28" s="28" t="inlineStr">
        <is>
          <t>Cono de papel</t>
        </is>
      </c>
      <c r="C28" s="28" t="inlineStr">
        <is>
          <t>Descartable</t>
        </is>
      </c>
      <c r="D28" s="28" t="inlineStr">
        <is>
          <t>Paquete 100 u</t>
        </is>
      </c>
      <c r="E28" s="31" t="n">
        <v>4</v>
      </c>
      <c r="F28" s="36" t="n">
        <v>100</v>
      </c>
      <c r="G28" s="28" t="inlineStr">
        <is>
          <t>unidad</t>
        </is>
      </c>
      <c r="H28" s="39" t="n">
        <v>0.15</v>
      </c>
      <c r="I28" s="40">
        <f>IFERROR(IF($B28="","",IF(INICIO!$C$6="SI",$E28/(1+$H28),$E28)/$F28),"")</f>
        <v/>
      </c>
      <c r="J28" s="28" t="inlineStr"/>
      <c r="K28" s="28" t="inlineStr"/>
    </row>
    <row r="29">
      <c r="A29" s="29" t="n">
        <v>25</v>
      </c>
      <c r="B29" s="28" t="inlineStr">
        <is>
          <t>Funda de despacho</t>
        </is>
      </c>
      <c r="C29" s="28" t="inlineStr">
        <is>
          <t>Descartable</t>
        </is>
      </c>
      <c r="D29" s="28" t="inlineStr">
        <is>
          <t>Paquete 100 u</t>
        </is>
      </c>
      <c r="E29" s="31" t="n">
        <v>2</v>
      </c>
      <c r="F29" s="36" t="n">
        <v>100</v>
      </c>
      <c r="G29" s="28" t="inlineStr">
        <is>
          <t>unidad</t>
        </is>
      </c>
      <c r="H29" s="39" t="n">
        <v>0.15</v>
      </c>
      <c r="I29" s="40">
        <f>IFERROR(IF($B29="","",IF(INICIO!$C$6="SI",$E29/(1+$H29),$E29)/$F29),"")</f>
        <v/>
      </c>
      <c r="J29" s="28" t="inlineStr"/>
      <c r="K29" s="28" t="inlineStr"/>
    </row>
    <row r="30">
      <c r="A30" s="29" t="n"/>
      <c r="B30" s="28" t="n"/>
      <c r="C30" s="28" t="n"/>
      <c r="D30" s="28" t="n"/>
      <c r="E30" s="31" t="n"/>
      <c r="F30" s="36" t="n"/>
      <c r="G30" s="28" t="n"/>
      <c r="H30" s="39" t="n"/>
      <c r="I30" s="40">
        <f>IFERROR(IF($B30="","",IF(INICIO!$C$6="SI",$E30/(1+$H30),$E30)/$F30),"")</f>
        <v/>
      </c>
      <c r="J30" s="28" t="n"/>
      <c r="K30" s="28" t="n"/>
    </row>
    <row r="31">
      <c r="A31" s="29" t="n"/>
      <c r="B31" s="28" t="n"/>
      <c r="C31" s="28" t="n"/>
      <c r="D31" s="28" t="n"/>
      <c r="E31" s="31" t="n"/>
      <c r="F31" s="36" t="n"/>
      <c r="G31" s="28" t="n"/>
      <c r="H31" s="39" t="n"/>
      <c r="I31" s="40">
        <f>IFERROR(IF($B31="","",IF(INICIO!$C$6="SI",$E31/(1+$H31),$E31)/$F31),"")</f>
        <v/>
      </c>
      <c r="J31" s="28" t="n"/>
      <c r="K31" s="28" t="n"/>
    </row>
    <row r="32">
      <c r="A32" s="29" t="n"/>
      <c r="B32" s="28" t="n"/>
      <c r="C32" s="28" t="n"/>
      <c r="D32" s="28" t="n"/>
      <c r="E32" s="31" t="n"/>
      <c r="F32" s="36" t="n"/>
      <c r="G32" s="28" t="n"/>
      <c r="H32" s="39" t="n"/>
      <c r="I32" s="40">
        <f>IFERROR(IF($B32="","",IF(INICIO!$C$6="SI",$E32/(1+$H32),$E32)/$F32),"")</f>
        <v/>
      </c>
      <c r="J32" s="28" t="n"/>
      <c r="K32" s="28" t="n"/>
    </row>
    <row r="33">
      <c r="A33" s="29" t="n"/>
      <c r="B33" s="28" t="n"/>
      <c r="C33" s="28" t="n"/>
      <c r="D33" s="28" t="n"/>
      <c r="E33" s="31" t="n"/>
      <c r="F33" s="36" t="n"/>
      <c r="G33" s="28" t="n"/>
      <c r="H33" s="39" t="n"/>
      <c r="I33" s="40">
        <f>IFERROR(IF($B33="","",IF(INICIO!$C$6="SI",$E33/(1+$H33),$E33)/$F33),"")</f>
        <v/>
      </c>
      <c r="J33" s="28" t="n"/>
      <c r="K33" s="28" t="n"/>
    </row>
    <row r="34">
      <c r="A34" s="29" t="n"/>
      <c r="B34" s="28" t="n"/>
      <c r="C34" s="28" t="n"/>
      <c r="D34" s="28" t="n"/>
      <c r="E34" s="31" t="n"/>
      <c r="F34" s="36" t="n"/>
      <c r="G34" s="28" t="n"/>
      <c r="H34" s="39" t="n"/>
      <c r="I34" s="40">
        <f>IFERROR(IF($B34="","",IF(INICIO!$C$6="SI",$E34/(1+$H34),$E34)/$F34),"")</f>
        <v/>
      </c>
      <c r="J34" s="28" t="n"/>
      <c r="K34" s="28" t="n"/>
    </row>
    <row r="35">
      <c r="A35" s="29" t="n"/>
      <c r="B35" s="28" t="n"/>
      <c r="C35" s="28" t="n"/>
      <c r="D35" s="28" t="n"/>
      <c r="E35" s="31" t="n"/>
      <c r="F35" s="36" t="n"/>
      <c r="G35" s="28" t="n"/>
      <c r="H35" s="39" t="n"/>
      <c r="I35" s="40">
        <f>IFERROR(IF($B35="","",IF(INICIO!$C$6="SI",$E35/(1+$H35),$E35)/$F35),"")</f>
        <v/>
      </c>
      <c r="J35" s="28" t="n"/>
      <c r="K35" s="28" t="n"/>
    </row>
    <row r="36">
      <c r="A36" s="29" t="n"/>
      <c r="B36" s="28" t="n"/>
      <c r="C36" s="28" t="n"/>
      <c r="D36" s="28" t="n"/>
      <c r="E36" s="31" t="n"/>
      <c r="F36" s="36" t="n"/>
      <c r="G36" s="28" t="n"/>
      <c r="H36" s="39" t="n"/>
      <c r="I36" s="40">
        <f>IFERROR(IF($B36="","",IF(INICIO!$C$6="SI",$E36/(1+$H36),$E36)/$F36),"")</f>
        <v/>
      </c>
      <c r="J36" s="28" t="n"/>
      <c r="K36" s="28" t="n"/>
    </row>
    <row r="37">
      <c r="A37" s="29" t="n"/>
      <c r="B37" s="28" t="n"/>
      <c r="C37" s="28" t="n"/>
      <c r="D37" s="28" t="n"/>
      <c r="E37" s="31" t="n"/>
      <c r="F37" s="36" t="n"/>
      <c r="G37" s="28" t="n"/>
      <c r="H37" s="39" t="n"/>
      <c r="I37" s="40">
        <f>IFERROR(IF($B37="","",IF(INICIO!$C$6="SI",$E37/(1+$H37),$E37)/$F37),"")</f>
        <v/>
      </c>
      <c r="J37" s="28" t="n"/>
      <c r="K37" s="28" t="n"/>
    </row>
    <row r="38">
      <c r="A38" s="29" t="n"/>
      <c r="B38" s="28" t="n"/>
      <c r="C38" s="28" t="n"/>
      <c r="D38" s="28" t="n"/>
      <c r="E38" s="31" t="n"/>
      <c r="F38" s="36" t="n"/>
      <c r="G38" s="28" t="n"/>
      <c r="H38" s="39" t="n"/>
      <c r="I38" s="40">
        <f>IFERROR(IF($B38="","",IF(INICIO!$C$6="SI",$E38/(1+$H38),$E38)/$F38),"")</f>
        <v/>
      </c>
      <c r="J38" s="28" t="n"/>
      <c r="K38" s="28" t="n"/>
    </row>
    <row r="39">
      <c r="A39" s="29" t="n"/>
      <c r="B39" s="28" t="n"/>
      <c r="C39" s="28" t="n"/>
      <c r="D39" s="28" t="n"/>
      <c r="E39" s="31" t="n"/>
      <c r="F39" s="36" t="n"/>
      <c r="G39" s="28" t="n"/>
      <c r="H39" s="39" t="n"/>
      <c r="I39" s="40">
        <f>IFERROR(IF($B39="","",IF(INICIO!$C$6="SI",$E39/(1+$H39),$E39)/$F39),"")</f>
        <v/>
      </c>
      <c r="J39" s="28" t="n"/>
      <c r="K39" s="28" t="n"/>
    </row>
    <row r="40">
      <c r="A40" s="29" t="n"/>
      <c r="B40" s="28" t="n"/>
      <c r="C40" s="28" t="n"/>
      <c r="D40" s="28" t="n"/>
      <c r="E40" s="31" t="n"/>
      <c r="F40" s="36" t="n"/>
      <c r="G40" s="28" t="n"/>
      <c r="H40" s="39" t="n"/>
      <c r="I40" s="40">
        <f>IFERROR(IF($B40="","",IF(INICIO!$C$6="SI",$E40/(1+$H40),$E40)/$F40),"")</f>
        <v/>
      </c>
      <c r="J40" s="28" t="n"/>
      <c r="K40" s="28" t="n"/>
    </row>
    <row r="41">
      <c r="A41" s="29" t="n"/>
      <c r="B41" s="28" t="n"/>
      <c r="C41" s="28" t="n"/>
      <c r="D41" s="28" t="n"/>
      <c r="E41" s="31" t="n"/>
      <c r="F41" s="36" t="n"/>
      <c r="G41" s="28" t="n"/>
      <c r="H41" s="39" t="n"/>
      <c r="I41" s="40">
        <f>IFERROR(IF($B41="","",IF(INICIO!$C$6="SI",$E41/(1+$H41),$E41)/$F41),"")</f>
        <v/>
      </c>
      <c r="J41" s="28" t="n"/>
      <c r="K41" s="28" t="n"/>
    </row>
    <row r="42">
      <c r="A42" s="29" t="n"/>
      <c r="B42" s="28" t="n"/>
      <c r="C42" s="28" t="n"/>
      <c r="D42" s="28" t="n"/>
      <c r="E42" s="31" t="n"/>
      <c r="F42" s="36" t="n"/>
      <c r="G42" s="28" t="n"/>
      <c r="H42" s="39" t="n"/>
      <c r="I42" s="40">
        <f>IFERROR(IF($B42="","",IF(INICIO!$C$6="SI",$E42/(1+$H42),$E42)/$F42),"")</f>
        <v/>
      </c>
      <c r="J42" s="28" t="n"/>
      <c r="K42" s="28" t="n"/>
    </row>
    <row r="43">
      <c r="A43" s="29" t="n"/>
      <c r="B43" s="28" t="n"/>
      <c r="C43" s="28" t="n"/>
      <c r="D43" s="28" t="n"/>
      <c r="E43" s="31" t="n"/>
      <c r="F43" s="36" t="n"/>
      <c r="G43" s="28" t="n"/>
      <c r="H43" s="39" t="n"/>
      <c r="I43" s="40">
        <f>IFERROR(IF($B43="","",IF(INICIO!$C$6="SI",$E43/(1+$H43),$E43)/$F43),"")</f>
        <v/>
      </c>
      <c r="J43" s="28" t="n"/>
      <c r="K43" s="28" t="n"/>
    </row>
    <row r="44">
      <c r="A44" s="29" t="n"/>
      <c r="B44" s="28" t="n"/>
      <c r="C44" s="28" t="n"/>
      <c r="D44" s="28" t="n"/>
      <c r="E44" s="31" t="n"/>
      <c r="F44" s="36" t="n"/>
      <c r="G44" s="28" t="n"/>
      <c r="H44" s="39" t="n"/>
      <c r="I44" s="40">
        <f>IFERROR(IF($B44="","",IF(INICIO!$C$6="SI",$E44/(1+$H44),$E44)/$F44),"")</f>
        <v/>
      </c>
      <c r="J44" s="28" t="n"/>
      <c r="K44" s="28" t="n"/>
    </row>
    <row r="45">
      <c r="A45" s="29" t="n"/>
      <c r="B45" s="28" t="n"/>
      <c r="C45" s="28" t="n"/>
      <c r="D45" s="28" t="n"/>
      <c r="E45" s="31" t="n"/>
      <c r="F45" s="36" t="n"/>
      <c r="G45" s="28" t="n"/>
      <c r="H45" s="39" t="n"/>
      <c r="I45" s="40">
        <f>IFERROR(IF($B45="","",IF(INICIO!$C$6="SI",$E45/(1+$H45),$E45)/$F45),"")</f>
        <v/>
      </c>
      <c r="J45" s="28" t="n"/>
      <c r="K45" s="28" t="n"/>
    </row>
    <row r="46">
      <c r="A46" s="29" t="n"/>
      <c r="B46" s="28" t="n"/>
      <c r="C46" s="28" t="n"/>
      <c r="D46" s="28" t="n"/>
      <c r="E46" s="31" t="n"/>
      <c r="F46" s="36" t="n"/>
      <c r="G46" s="28" t="n"/>
      <c r="H46" s="39" t="n"/>
      <c r="I46" s="40">
        <f>IFERROR(IF($B46="","",IF(INICIO!$C$6="SI",$E46/(1+$H46),$E46)/$F46),"")</f>
        <v/>
      </c>
      <c r="J46" s="28" t="n"/>
      <c r="K46" s="28" t="n"/>
    </row>
    <row r="47">
      <c r="A47" s="29" t="n"/>
      <c r="B47" s="28" t="n"/>
      <c r="C47" s="28" t="n"/>
      <c r="D47" s="28" t="n"/>
      <c r="E47" s="31" t="n"/>
      <c r="F47" s="36" t="n"/>
      <c r="G47" s="28" t="n"/>
      <c r="H47" s="39" t="n"/>
      <c r="I47" s="40">
        <f>IFERROR(IF($B47="","",IF(INICIO!$C$6="SI",$E47/(1+$H47),$E47)/$F47),"")</f>
        <v/>
      </c>
      <c r="J47" s="28" t="n"/>
      <c r="K47" s="28" t="n"/>
    </row>
    <row r="48">
      <c r="A48" s="29" t="n"/>
      <c r="B48" s="28" t="n"/>
      <c r="C48" s="28" t="n"/>
      <c r="D48" s="28" t="n"/>
      <c r="E48" s="31" t="n"/>
      <c r="F48" s="36" t="n"/>
      <c r="G48" s="28" t="n"/>
      <c r="H48" s="39" t="n"/>
      <c r="I48" s="40">
        <f>IFERROR(IF($B48="","",IF(INICIO!$C$6="SI",$E48/(1+$H48),$E48)/$F48),"")</f>
        <v/>
      </c>
      <c r="J48" s="28" t="n"/>
      <c r="K48" s="28" t="n"/>
    </row>
    <row r="49">
      <c r="A49" s="29" t="n"/>
      <c r="B49" s="28" t="n"/>
      <c r="C49" s="28" t="n"/>
      <c r="D49" s="28" t="n"/>
      <c r="E49" s="31" t="n"/>
      <c r="F49" s="36" t="n"/>
      <c r="G49" s="28" t="n"/>
      <c r="H49" s="39" t="n"/>
      <c r="I49" s="40">
        <f>IFERROR(IF($B49="","",IF(INICIO!$C$6="SI",$E49/(1+$H49),$E49)/$F49),"")</f>
        <v/>
      </c>
      <c r="J49" s="28" t="n"/>
      <c r="K49" s="28" t="n"/>
    </row>
    <row r="50">
      <c r="A50" s="29" t="n"/>
      <c r="B50" s="28" t="n"/>
      <c r="C50" s="28" t="n"/>
      <c r="D50" s="28" t="n"/>
      <c r="E50" s="31" t="n"/>
      <c r="F50" s="36" t="n"/>
      <c r="G50" s="28" t="n"/>
      <c r="H50" s="39" t="n"/>
      <c r="I50" s="40">
        <f>IFERROR(IF($B50="","",IF(INICIO!$C$6="SI",$E50/(1+$H50),$E50)/$F50),"")</f>
        <v/>
      </c>
      <c r="J50" s="28" t="n"/>
      <c r="K50" s="28" t="n"/>
    </row>
    <row r="51">
      <c r="A51" s="29" t="n"/>
      <c r="B51" s="28" t="n"/>
      <c r="C51" s="28" t="n"/>
      <c r="D51" s="28" t="n"/>
      <c r="E51" s="31" t="n"/>
      <c r="F51" s="36" t="n"/>
      <c r="G51" s="28" t="n"/>
      <c r="H51" s="39" t="n"/>
      <c r="I51" s="40">
        <f>IFERROR(IF($B51="","",IF(INICIO!$C$6="SI",$E51/(1+$H51),$E51)/$F51),"")</f>
        <v/>
      </c>
      <c r="J51" s="28" t="n"/>
      <c r="K51" s="28" t="n"/>
    </row>
    <row r="52">
      <c r="A52" s="29" t="n"/>
      <c r="B52" s="28" t="n"/>
      <c r="C52" s="28" t="n"/>
      <c r="D52" s="28" t="n"/>
      <c r="E52" s="31" t="n"/>
      <c r="F52" s="36" t="n"/>
      <c r="G52" s="28" t="n"/>
      <c r="H52" s="39" t="n"/>
      <c r="I52" s="40">
        <f>IFERROR(IF($B52="","",IF(INICIO!$C$6="SI",$E52/(1+$H52),$E52)/$F52),"")</f>
        <v/>
      </c>
      <c r="J52" s="28" t="n"/>
      <c r="K52" s="28" t="n"/>
    </row>
    <row r="53">
      <c r="A53" s="29" t="n"/>
      <c r="B53" s="28" t="n"/>
      <c r="C53" s="28" t="n"/>
      <c r="D53" s="28" t="n"/>
      <c r="E53" s="31" t="n"/>
      <c r="F53" s="36" t="n"/>
      <c r="G53" s="28" t="n"/>
      <c r="H53" s="39" t="n"/>
      <c r="I53" s="40">
        <f>IFERROR(IF($B53="","",IF(INICIO!$C$6="SI",$E53/(1+$H53),$E53)/$F53),"")</f>
        <v/>
      </c>
      <c r="J53" s="28" t="n"/>
      <c r="K53" s="28" t="n"/>
    </row>
    <row r="54">
      <c r="A54" s="29" t="n"/>
      <c r="B54" s="28" t="n"/>
      <c r="C54" s="28" t="n"/>
      <c r="D54" s="28" t="n"/>
      <c r="E54" s="31" t="n"/>
      <c r="F54" s="36" t="n"/>
      <c r="G54" s="28" t="n"/>
      <c r="H54" s="39" t="n"/>
      <c r="I54" s="40">
        <f>IFERROR(IF($B54="","",IF(INICIO!$C$6="SI",$E54/(1+$H54),$E54)/$F54),"")</f>
        <v/>
      </c>
      <c r="J54" s="28" t="n"/>
      <c r="K54" s="28" t="n"/>
    </row>
    <row r="55">
      <c r="A55" s="29" t="n"/>
      <c r="B55" s="28" t="n"/>
      <c r="C55" s="28" t="n"/>
      <c r="D55" s="28" t="n"/>
      <c r="E55" s="31" t="n"/>
      <c r="F55" s="36" t="n"/>
      <c r="G55" s="28" t="n"/>
      <c r="H55" s="39" t="n"/>
      <c r="I55" s="40">
        <f>IFERROR(IF($B55="","",IF(INICIO!$C$6="SI",$E55/(1+$H55),$E55)/$F55),"")</f>
        <v/>
      </c>
      <c r="J55" s="28" t="n"/>
      <c r="K55" s="28" t="n"/>
    </row>
    <row r="56">
      <c r="A56" s="29" t="n"/>
      <c r="B56" s="28" t="n"/>
      <c r="C56" s="28" t="n"/>
      <c r="D56" s="28" t="n"/>
      <c r="E56" s="31" t="n"/>
      <c r="F56" s="36" t="n"/>
      <c r="G56" s="28" t="n"/>
      <c r="H56" s="39" t="n"/>
      <c r="I56" s="40">
        <f>IFERROR(IF($B56="","",IF(INICIO!$C$6="SI",$E56/(1+$H56),$E56)/$F56),"")</f>
        <v/>
      </c>
      <c r="J56" s="28" t="n"/>
      <c r="K56" s="28" t="n"/>
    </row>
    <row r="57">
      <c r="A57" s="29" t="n"/>
      <c r="B57" s="28" t="n"/>
      <c r="C57" s="28" t="n"/>
      <c r="D57" s="28" t="n"/>
      <c r="E57" s="31" t="n"/>
      <c r="F57" s="36" t="n"/>
      <c r="G57" s="28" t="n"/>
      <c r="H57" s="39" t="n"/>
      <c r="I57" s="40">
        <f>IFERROR(IF($B57="","",IF(INICIO!$C$6="SI",$E57/(1+$H57),$E57)/$F57),"")</f>
        <v/>
      </c>
      <c r="J57" s="28" t="n"/>
      <c r="K57" s="28" t="n"/>
    </row>
    <row r="58">
      <c r="A58" s="29" t="n"/>
      <c r="B58" s="28" t="n"/>
      <c r="C58" s="28" t="n"/>
      <c r="D58" s="28" t="n"/>
      <c r="E58" s="31" t="n"/>
      <c r="F58" s="36" t="n"/>
      <c r="G58" s="28" t="n"/>
      <c r="H58" s="39" t="n"/>
      <c r="I58" s="40">
        <f>IFERROR(IF($B58="","",IF(INICIO!$C$6="SI",$E58/(1+$H58),$E58)/$F58),"")</f>
        <v/>
      </c>
      <c r="J58" s="28" t="n"/>
      <c r="K58" s="28" t="n"/>
    </row>
    <row r="59">
      <c r="A59" s="29" t="n"/>
      <c r="B59" s="28" t="n"/>
      <c r="C59" s="28" t="n"/>
      <c r="D59" s="28" t="n"/>
      <c r="E59" s="31" t="n"/>
      <c r="F59" s="36" t="n"/>
      <c r="G59" s="28" t="n"/>
      <c r="H59" s="39" t="n"/>
      <c r="I59" s="40">
        <f>IFERROR(IF($B59="","",IF(INICIO!$C$6="SI",$E59/(1+$H59),$E59)/$F59),"")</f>
        <v/>
      </c>
      <c r="J59" s="28" t="n"/>
      <c r="K59" s="28" t="n"/>
    </row>
    <row r="60">
      <c r="A60" s="29" t="n"/>
      <c r="B60" s="28" t="n"/>
      <c r="C60" s="28" t="n"/>
      <c r="D60" s="28" t="n"/>
      <c r="E60" s="31" t="n"/>
      <c r="F60" s="36" t="n"/>
      <c r="G60" s="28" t="n"/>
      <c r="H60" s="39" t="n"/>
      <c r="I60" s="40">
        <f>IFERROR(IF($B60="","",IF(INICIO!$C$6="SI",$E60/(1+$H60),$E60)/$F60),"")</f>
        <v/>
      </c>
      <c r="J60" s="28" t="n"/>
      <c r="K60" s="28" t="n"/>
    </row>
    <row r="61">
      <c r="A61" s="29" t="n"/>
      <c r="B61" s="28" t="n"/>
      <c r="C61" s="28" t="n"/>
      <c r="D61" s="28" t="n"/>
      <c r="E61" s="31" t="n"/>
      <c r="F61" s="36" t="n"/>
      <c r="G61" s="28" t="n"/>
      <c r="H61" s="39" t="n"/>
      <c r="I61" s="40">
        <f>IFERROR(IF($B61="","",IF(INICIO!$C$6="SI",$E61/(1+$H61),$E61)/$F61),"")</f>
        <v/>
      </c>
      <c r="J61" s="28" t="n"/>
      <c r="K61" s="28" t="n"/>
    </row>
    <row r="62">
      <c r="A62" s="29" t="n"/>
      <c r="B62" s="28" t="n"/>
      <c r="C62" s="28" t="n"/>
      <c r="D62" s="28" t="n"/>
      <c r="E62" s="31" t="n"/>
      <c r="F62" s="36" t="n"/>
      <c r="G62" s="28" t="n"/>
      <c r="H62" s="39" t="n"/>
      <c r="I62" s="40">
        <f>IFERROR(IF($B62="","",IF(INICIO!$C$6="SI",$E62/(1+$H62),$E62)/$F62),"")</f>
        <v/>
      </c>
      <c r="J62" s="28" t="n"/>
      <c r="K62" s="28" t="n"/>
    </row>
    <row r="63">
      <c r="A63" s="29" t="n"/>
      <c r="B63" s="28" t="n"/>
      <c r="C63" s="28" t="n"/>
      <c r="D63" s="28" t="n"/>
      <c r="E63" s="31" t="n"/>
      <c r="F63" s="36" t="n"/>
      <c r="G63" s="28" t="n"/>
      <c r="H63" s="39" t="n"/>
      <c r="I63" s="40">
        <f>IFERROR(IF($B63="","",IF(INICIO!$C$6="SI",$E63/(1+$H63),$E63)/$F63),"")</f>
        <v/>
      </c>
      <c r="J63" s="28" t="n"/>
      <c r="K63" s="28" t="n"/>
    </row>
    <row r="64">
      <c r="A64" s="29" t="n"/>
      <c r="B64" s="28" t="n"/>
      <c r="C64" s="28" t="n"/>
      <c r="D64" s="28" t="n"/>
      <c r="E64" s="31" t="n"/>
      <c r="F64" s="36" t="n"/>
      <c r="G64" s="28" t="n"/>
      <c r="H64" s="39" t="n"/>
      <c r="I64" s="40">
        <f>IFERROR(IF($B64="","",IF(INICIO!$C$6="SI",$E64/(1+$H64),$E64)/$F64),"")</f>
        <v/>
      </c>
      <c r="J64" s="28" t="n"/>
      <c r="K64" s="28" t="n"/>
    </row>
    <row r="65">
      <c r="A65" s="29" t="n"/>
      <c r="B65" s="28" t="n"/>
      <c r="C65" s="28" t="n"/>
      <c r="D65" s="28" t="n"/>
      <c r="E65" s="31" t="n"/>
      <c r="F65" s="36" t="n"/>
      <c r="G65" s="28" t="n"/>
      <c r="H65" s="39" t="n"/>
      <c r="I65" s="40">
        <f>IFERROR(IF($B65="","",IF(INICIO!$C$6="SI",$E65/(1+$H65),$E65)/$F65),"")</f>
        <v/>
      </c>
      <c r="J65" s="28" t="n"/>
      <c r="K65" s="28" t="n"/>
    </row>
    <row r="66">
      <c r="A66" s="29" t="n"/>
      <c r="B66" s="28" t="n"/>
      <c r="C66" s="28" t="n"/>
      <c r="D66" s="28" t="n"/>
      <c r="E66" s="31" t="n"/>
      <c r="F66" s="36" t="n"/>
      <c r="G66" s="28" t="n"/>
      <c r="H66" s="39" t="n"/>
      <c r="I66" s="40">
        <f>IFERROR(IF($B66="","",IF(INICIO!$C$6="SI",$E66/(1+$H66),$E66)/$F66),"")</f>
        <v/>
      </c>
      <c r="J66" s="28" t="n"/>
      <c r="K66" s="28" t="n"/>
    </row>
    <row r="67">
      <c r="A67" s="29" t="n"/>
      <c r="B67" s="28" t="n"/>
      <c r="C67" s="28" t="n"/>
      <c r="D67" s="28" t="n"/>
      <c r="E67" s="31" t="n"/>
      <c r="F67" s="36" t="n"/>
      <c r="G67" s="28" t="n"/>
      <c r="H67" s="39" t="n"/>
      <c r="I67" s="40">
        <f>IFERROR(IF($B67="","",IF(INICIO!$C$6="SI",$E67/(1+$H67),$E67)/$F67),"")</f>
        <v/>
      </c>
      <c r="J67" s="28" t="n"/>
      <c r="K67" s="28" t="n"/>
    </row>
    <row r="68">
      <c r="A68" s="29" t="n"/>
      <c r="B68" s="28" t="n"/>
      <c r="C68" s="28" t="n"/>
      <c r="D68" s="28" t="n"/>
      <c r="E68" s="31" t="n"/>
      <c r="F68" s="36" t="n"/>
      <c r="G68" s="28" t="n"/>
      <c r="H68" s="39" t="n"/>
      <c r="I68" s="40">
        <f>IFERROR(IF($B68="","",IF(INICIO!$C$6="SI",$E68/(1+$H68),$E68)/$F68),"")</f>
        <v/>
      </c>
      <c r="J68" s="28" t="n"/>
      <c r="K68" s="28" t="n"/>
    </row>
    <row r="69">
      <c r="A69" s="29" t="n"/>
      <c r="B69" s="28" t="n"/>
      <c r="C69" s="28" t="n"/>
      <c r="D69" s="28" t="n"/>
      <c r="E69" s="31" t="n"/>
      <c r="F69" s="36" t="n"/>
      <c r="G69" s="28" t="n"/>
      <c r="H69" s="39" t="n"/>
      <c r="I69" s="40">
        <f>IFERROR(IF($B69="","",IF(INICIO!$C$6="SI",$E69/(1+$H69),$E69)/$F69),"")</f>
        <v/>
      </c>
      <c r="J69" s="28" t="n"/>
      <c r="K69" s="28" t="n"/>
    </row>
    <row r="70">
      <c r="A70" s="29" t="n"/>
      <c r="B70" s="28" t="n"/>
      <c r="C70" s="28" t="n"/>
      <c r="D70" s="28" t="n"/>
      <c r="E70" s="31" t="n"/>
      <c r="F70" s="36" t="n"/>
      <c r="G70" s="28" t="n"/>
      <c r="H70" s="39" t="n"/>
      <c r="I70" s="40">
        <f>IFERROR(IF($B70="","",IF(INICIO!$C$6="SI",$E70/(1+$H70),$E70)/$F70),"")</f>
        <v/>
      </c>
      <c r="J70" s="28" t="n"/>
      <c r="K70" s="28" t="n"/>
    </row>
    <row r="71">
      <c r="A71" s="29" t="n"/>
      <c r="B71" s="28" t="n"/>
      <c r="C71" s="28" t="n"/>
      <c r="D71" s="28" t="n"/>
      <c r="E71" s="31" t="n"/>
      <c r="F71" s="36" t="n"/>
      <c r="G71" s="28" t="n"/>
      <c r="H71" s="39" t="n"/>
      <c r="I71" s="40">
        <f>IFERROR(IF($B71="","",IF(INICIO!$C$6="SI",$E71/(1+$H71),$E71)/$F71),"")</f>
        <v/>
      </c>
      <c r="J71" s="28" t="n"/>
      <c r="K71" s="28" t="n"/>
    </row>
    <row r="72">
      <c r="A72" s="29" t="n"/>
      <c r="B72" s="28" t="n"/>
      <c r="C72" s="28" t="n"/>
      <c r="D72" s="28" t="n"/>
      <c r="E72" s="31" t="n"/>
      <c r="F72" s="36" t="n"/>
      <c r="G72" s="28" t="n"/>
      <c r="H72" s="39" t="n"/>
      <c r="I72" s="40">
        <f>IFERROR(IF($B72="","",IF(INICIO!$C$6="SI",$E72/(1+$H72),$E72)/$F72),"")</f>
        <v/>
      </c>
      <c r="J72" s="28" t="n"/>
      <c r="K72" s="28" t="n"/>
    </row>
    <row r="73">
      <c r="A73" s="29" t="n"/>
      <c r="B73" s="28" t="n"/>
      <c r="C73" s="28" t="n"/>
      <c r="D73" s="28" t="n"/>
      <c r="E73" s="31" t="n"/>
      <c r="F73" s="36" t="n"/>
      <c r="G73" s="28" t="n"/>
      <c r="H73" s="39" t="n"/>
      <c r="I73" s="40">
        <f>IFERROR(IF($B73="","",IF(INICIO!$C$6="SI",$E73/(1+$H73),$E73)/$F73),"")</f>
        <v/>
      </c>
      <c r="J73" s="28" t="n"/>
      <c r="K73" s="28" t="n"/>
    </row>
    <row r="74">
      <c r="A74" s="29" t="n"/>
      <c r="B74" s="28" t="n"/>
      <c r="C74" s="28" t="n"/>
      <c r="D74" s="28" t="n"/>
      <c r="E74" s="31" t="n"/>
      <c r="F74" s="36" t="n"/>
      <c r="G74" s="28" t="n"/>
      <c r="H74" s="39" t="n"/>
      <c r="I74" s="40">
        <f>IFERROR(IF($B74="","",IF(INICIO!$C$6="SI",$E74/(1+$H74),$E74)/$F74),"")</f>
        <v/>
      </c>
      <c r="J74" s="28" t="n"/>
      <c r="K74" s="28" t="n"/>
    </row>
    <row r="75">
      <c r="A75" s="29" t="n"/>
      <c r="B75" s="28" t="n"/>
      <c r="C75" s="28" t="n"/>
      <c r="D75" s="28" t="n"/>
      <c r="E75" s="31" t="n"/>
      <c r="F75" s="36" t="n"/>
      <c r="G75" s="28" t="n"/>
      <c r="H75" s="39" t="n"/>
      <c r="I75" s="40">
        <f>IFERROR(IF($B75="","",IF(INICIO!$C$6="SI",$E75/(1+$H75),$E75)/$F75),"")</f>
        <v/>
      </c>
      <c r="J75" s="28" t="n"/>
      <c r="K75" s="28" t="n"/>
    </row>
    <row r="76">
      <c r="A76" s="29" t="n"/>
      <c r="B76" s="28" t="n"/>
      <c r="C76" s="28" t="n"/>
      <c r="D76" s="28" t="n"/>
      <c r="E76" s="31" t="n"/>
      <c r="F76" s="36" t="n"/>
      <c r="G76" s="28" t="n"/>
      <c r="H76" s="39" t="n"/>
      <c r="I76" s="40">
        <f>IFERROR(IF($B76="","",IF(INICIO!$C$6="SI",$E76/(1+$H76),$E76)/$F76),"")</f>
        <v/>
      </c>
      <c r="J76" s="28" t="n"/>
      <c r="K76" s="28" t="n"/>
    </row>
    <row r="77">
      <c r="A77" s="29" t="n"/>
      <c r="B77" s="28" t="n"/>
      <c r="C77" s="28" t="n"/>
      <c r="D77" s="28" t="n"/>
      <c r="E77" s="31" t="n"/>
      <c r="F77" s="36" t="n"/>
      <c r="G77" s="28" t="n"/>
      <c r="H77" s="39" t="n"/>
      <c r="I77" s="40">
        <f>IFERROR(IF($B77="","",IF(INICIO!$C$6="SI",$E77/(1+$H77),$E77)/$F77),"")</f>
        <v/>
      </c>
      <c r="J77" s="28" t="n"/>
      <c r="K77" s="28" t="n"/>
    </row>
    <row r="78">
      <c r="A78" s="29" t="n"/>
      <c r="B78" s="28" t="n"/>
      <c r="C78" s="28" t="n"/>
      <c r="D78" s="28" t="n"/>
      <c r="E78" s="31" t="n"/>
      <c r="F78" s="36" t="n"/>
      <c r="G78" s="28" t="n"/>
      <c r="H78" s="39" t="n"/>
      <c r="I78" s="40">
        <f>IFERROR(IF($B78="","",IF(INICIO!$C$6="SI",$E78/(1+$H78),$E78)/$F78),"")</f>
        <v/>
      </c>
      <c r="J78" s="28" t="n"/>
      <c r="K78" s="28" t="n"/>
    </row>
    <row r="79">
      <c r="A79" s="29" t="n"/>
      <c r="B79" s="28" t="n"/>
      <c r="C79" s="28" t="n"/>
      <c r="D79" s="28" t="n"/>
      <c r="E79" s="31" t="n"/>
      <c r="F79" s="36" t="n"/>
      <c r="G79" s="28" t="n"/>
      <c r="H79" s="39" t="n"/>
      <c r="I79" s="40">
        <f>IFERROR(IF($B79="","",IF(INICIO!$C$6="SI",$E79/(1+$H79),$E79)/$F79),"")</f>
        <v/>
      </c>
      <c r="J79" s="28" t="n"/>
      <c r="K79" s="28" t="n"/>
    </row>
    <row r="80">
      <c r="A80" s="29" t="n"/>
      <c r="B80" s="28" t="n"/>
      <c r="C80" s="28" t="n"/>
      <c r="D80" s="28" t="n"/>
      <c r="E80" s="31" t="n"/>
      <c r="F80" s="36" t="n"/>
      <c r="G80" s="28" t="n"/>
      <c r="H80" s="39" t="n"/>
      <c r="I80" s="40">
        <f>IFERROR(IF($B80="","",IF(INICIO!$C$6="SI",$E80/(1+$H80),$E80)/$F80),"")</f>
        <v/>
      </c>
      <c r="J80" s="28" t="n"/>
      <c r="K80" s="28" t="n"/>
    </row>
    <row r="81">
      <c r="A81" s="29" t="n"/>
      <c r="B81" s="28" t="n"/>
      <c r="C81" s="28" t="n"/>
      <c r="D81" s="28" t="n"/>
      <c r="E81" s="31" t="n"/>
      <c r="F81" s="36" t="n"/>
      <c r="G81" s="28" t="n"/>
      <c r="H81" s="39" t="n"/>
      <c r="I81" s="40">
        <f>IFERROR(IF($B81="","",IF(INICIO!$C$6="SI",$E81/(1+$H81),$E81)/$F81),"")</f>
        <v/>
      </c>
      <c r="J81" s="28" t="n"/>
      <c r="K81" s="28" t="n"/>
    </row>
    <row r="82">
      <c r="A82" s="29" t="n"/>
      <c r="B82" s="28" t="n"/>
      <c r="C82" s="28" t="n"/>
      <c r="D82" s="28" t="n"/>
      <c r="E82" s="31" t="n"/>
      <c r="F82" s="36" t="n"/>
      <c r="G82" s="28" t="n"/>
      <c r="H82" s="39" t="n"/>
      <c r="I82" s="40">
        <f>IFERROR(IF($B82="","",IF(INICIO!$C$6="SI",$E82/(1+$H82),$E82)/$F82),"")</f>
        <v/>
      </c>
      <c r="J82" s="28" t="n"/>
      <c r="K82" s="28" t="n"/>
    </row>
    <row r="83">
      <c r="A83" s="29" t="n"/>
      <c r="B83" s="28" t="n"/>
      <c r="C83" s="28" t="n"/>
      <c r="D83" s="28" t="n"/>
      <c r="E83" s="31" t="n"/>
      <c r="F83" s="36" t="n"/>
      <c r="G83" s="28" t="n"/>
      <c r="H83" s="39" t="n"/>
      <c r="I83" s="40">
        <f>IFERROR(IF($B83="","",IF(INICIO!$C$6="SI",$E83/(1+$H83),$E83)/$F83),"")</f>
        <v/>
      </c>
      <c r="J83" s="28" t="n"/>
      <c r="K83" s="28" t="n"/>
    </row>
    <row r="84">
      <c r="A84" s="29" t="n"/>
      <c r="B84" s="28" t="n"/>
      <c r="C84" s="28" t="n"/>
      <c r="D84" s="28" t="n"/>
      <c r="E84" s="31" t="n"/>
      <c r="F84" s="36" t="n"/>
      <c r="G84" s="28" t="n"/>
      <c r="H84" s="39" t="n"/>
      <c r="I84" s="40">
        <f>IFERROR(IF($B84="","",IF(INICIO!$C$6="SI",$E84/(1+$H84),$E84)/$F84),"")</f>
        <v/>
      </c>
      <c r="J84" s="28" t="n"/>
      <c r="K84" s="28" t="n"/>
    </row>
    <row r="86">
      <c r="B86" s="2" t="inlineStr">
        <is>
          <t>NOTA: 'Contenido' = cuantas unidades base trae lo que compras. Ej: un galon de jarabe = 3785 ml.</t>
        </is>
      </c>
    </row>
    <row r="87">
      <c r="B87" s="2" t="inlineStr">
        <is>
          <t>Precios cargados desde finanzas/analisis-costos.md (2026-05-29). Los marcados PENDIENTE hay que confirmarlos en Machala.</t>
        </is>
      </c>
    </row>
  </sheetData>
  <dataValidations count="2">
    <dataValidation sqref="C5:C84" showDropDown="0" showInputMessage="0" showErrorMessage="0" allowBlank="1" type="list">
      <formula1>"Jarabe,Base,Lacteos,Insumo especial,Alcohol,Comida,Descartable,Otro"</formula1>
    </dataValidation>
    <dataValidation sqref="G5:G84" showDropDown="0" showInputMessage="0" showErrorMessage="0" allowBlank="1" type="list">
      <formula1>"ml,g,unidad,vaso,porcion"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30A0"/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4" customWidth="1" min="3" max="3"/>
    <col width="14" customWidth="1" min="4" max="4"/>
    <col width="12" customWidth="1" min="5" max="5"/>
    <col width="58" customWidth="1" min="6" max="6"/>
  </cols>
  <sheetData>
    <row r="1" ht="24" customHeight="1">
      <c r="A1" s="1" t="inlineStr">
        <is>
          <t>FICHAS TECNICAS DE PRODUCCION</t>
        </is>
      </c>
    </row>
    <row r="2">
      <c r="A2" s="2" t="inlineStr">
        <is>
          <t>Receta estandarizada, paso a paso y tiempos. Imprime esta hoja y pegala en la pared del local. El costo se actualiza solo.</t>
        </is>
      </c>
    </row>
    <row r="4" ht="22" customHeight="1">
      <c r="B4" s="41" t="inlineStr">
        <is>
          <t>Granizado de maquina (Coco / Frutos Rojos / Maracuya / Naranja)</t>
        </is>
      </c>
      <c r="C4" s="42" t="n"/>
      <c r="D4" s="42" t="n"/>
      <c r="E4" s="42" t="n"/>
      <c r="F4" s="42" t="n"/>
    </row>
    <row r="5">
      <c r="B5" s="10" t="inlineStr">
        <is>
          <t>Tiempo objetivo</t>
        </is>
      </c>
      <c r="C5" s="6" t="inlineStr">
        <is>
          <t>Menos de 1 minuto</t>
        </is>
      </c>
    </row>
    <row r="6">
      <c r="B6" s="10" t="inlineStr">
        <is>
          <t>Rendimiento</t>
        </is>
      </c>
      <c r="C6" s="6" t="inlineStr">
        <is>
          <t>1 vaso 12 oz (350 ml)</t>
        </is>
      </c>
    </row>
    <row r="7">
      <c r="B7" s="10" t="inlineStr">
        <is>
          <t>Equipo</t>
        </is>
      </c>
      <c r="C7" s="6" t="inlineStr">
        <is>
          <t>Maquina granizadora de 4 sabores</t>
        </is>
      </c>
    </row>
    <row r="8">
      <c r="B8" s="10" t="inlineStr">
        <is>
          <t>Costo real por unidad</t>
        </is>
      </c>
      <c r="C8" s="43">
        <f>IFERROR(INDEX(PRODUCTOS!$D$5:$D$44,MATCH("Coco s/alcohol",PRODUCTOS!$B$5:$B$44,0)),"")</f>
        <v/>
      </c>
      <c r="D8" s="2" t="inlineStr">
        <is>
          <t>(se actualiza solo desde INSUMOS)</t>
        </is>
      </c>
    </row>
    <row r="10">
      <c r="B10" s="44" t="inlineStr">
        <is>
          <t>Paso</t>
        </is>
      </c>
      <c r="C10" s="44" t="inlineStr">
        <is>
          <t>Que hacer</t>
        </is>
      </c>
      <c r="D10" s="44" t="inlineStr">
        <is>
          <t>Tiempo</t>
        </is>
      </c>
      <c r="E10" s="45" t="n"/>
      <c r="F10" s="45" t="n"/>
    </row>
    <row r="11" ht="26" customHeight="1">
      <c r="B11" s="46" t="inlineStr">
        <is>
          <t>1</t>
        </is>
      </c>
      <c r="C11" s="47" t="inlineStr">
        <is>
          <t>Tomar vaso 12 oz limpio y colocarlo bajo la palanca del sabor pedido.</t>
        </is>
      </c>
      <c r="D11" s="48" t="inlineStr">
        <is>
          <t>5 seg</t>
        </is>
      </c>
    </row>
    <row r="12" ht="26" customHeight="1">
      <c r="B12" s="46" t="inlineStr">
        <is>
          <t>2</t>
        </is>
      </c>
      <c r="C12" s="47" t="inlineStr">
        <is>
          <t>Accionar la palanca lentamente hasta llenar 3/4 del vaso (~300 ml).</t>
        </is>
      </c>
      <c r="D12" s="48" t="inlineStr">
        <is>
          <t>15 seg</t>
        </is>
      </c>
    </row>
    <row r="13" ht="26" customHeight="1">
      <c r="B13" s="46" t="inlineStr">
        <is>
          <t>3</t>
        </is>
      </c>
      <c r="C13" s="47" t="inlineStr">
        <is>
          <t>CONTROL: el granizado debe salir compacto, no liquido. Si sale aguado, esperar 2 min a que enfrie la maquina.</t>
        </is>
      </c>
      <c r="D13" s="48" t="inlineStr">
        <is>
          <t>-</t>
        </is>
      </c>
    </row>
    <row r="14" ht="26" customHeight="1">
      <c r="B14" s="46" t="inlineStr">
        <is>
          <t>4</t>
        </is>
      </c>
      <c r="C14" s="47" t="inlineStr">
        <is>
          <t>SOLO version c/alcohol: agregar 30 ml de vodka o aguardiente por encima.</t>
        </is>
      </c>
      <c r="D14" s="48" t="inlineStr">
        <is>
          <t>10 seg</t>
        </is>
      </c>
    </row>
    <row r="15" ht="26" customHeight="1">
      <c r="B15" s="46" t="inlineStr">
        <is>
          <t>5</t>
        </is>
      </c>
      <c r="C15" s="47" t="inlineStr">
        <is>
          <t>Mezclar suavemente con el pitillo 2-3 veces. NO mezclar de mas: se pierde la textura.</t>
        </is>
      </c>
      <c r="D15" s="48" t="inlineStr">
        <is>
          <t>5 seg</t>
        </is>
      </c>
    </row>
    <row r="16" ht="26" customHeight="1">
      <c r="B16" s="46" t="inlineStr">
        <is>
          <t>6</t>
        </is>
      </c>
      <c r="C16" s="47" t="inlineStr">
        <is>
          <t>Colocar tapa, insertar pitillo, entregar con servilleta.</t>
        </is>
      </c>
      <c r="D16" s="48" t="inlineStr">
        <is>
          <t>10 seg</t>
        </is>
      </c>
    </row>
    <row r="18">
      <c r="B18" s="49" t="inlineStr">
        <is>
          <t>CONTROL DE CALIDAD antes de entregar</t>
        </is>
      </c>
    </row>
    <row r="19">
      <c r="C19" s="6" t="inlineStr">
        <is>
          <t>[  ]  Textura compacta, no liquida</t>
        </is>
      </c>
    </row>
    <row r="20">
      <c r="C20" s="6" t="inlineStr">
        <is>
          <t>[  ]  Vaso lleno a 3/4</t>
        </is>
      </c>
    </row>
    <row r="21">
      <c r="C21" s="6" t="inlineStr">
        <is>
          <t>[  ]  Tapa bien cerrada</t>
        </is>
      </c>
    </row>
    <row r="22">
      <c r="C22" s="6" t="inlineStr">
        <is>
          <t>[  ]  Sin derrames por fuera</t>
        </is>
      </c>
    </row>
    <row r="24">
      <c r="B24" s="50" t="inlineStr">
        <is>
          <t>SI ALGO SALE MAL</t>
        </is>
      </c>
    </row>
    <row r="25">
      <c r="C25" s="6" t="inlineStr">
        <is>
          <t>- Granizado liquido -&gt; maquina no fria o mezcla muy diluida</t>
        </is>
      </c>
    </row>
    <row r="26">
      <c r="C26" s="6" t="inlineStr">
        <is>
          <t>- Muy dulce -&gt; ajustar dilucion a 1:4</t>
        </is>
      </c>
    </row>
    <row r="27">
      <c r="C27" s="6" t="inlineStr">
        <is>
          <t>- Insipido -&gt; ajustar dilucion a 1:2.5</t>
        </is>
      </c>
    </row>
    <row r="28">
      <c r="B28" s="10" t="inlineStr">
        <is>
          <t>NOTA</t>
        </is>
      </c>
      <c r="C28" s="51" t="inlineStr">
        <is>
          <t>Recarga: 500 ml de jarabe + 1500 ml de agua (1:3). Rinde ~8 vasos por carga.</t>
        </is>
      </c>
    </row>
    <row r="31" ht="22" customHeight="1">
      <c r="B31" s="41" t="inlineStr">
        <is>
          <t>Granizado especial OREO</t>
        </is>
      </c>
      <c r="C31" s="42" t="n"/>
      <c r="D31" s="42" t="n"/>
      <c r="E31" s="42" t="n"/>
      <c r="F31" s="42" t="n"/>
    </row>
    <row r="32">
      <c r="B32" s="10" t="inlineStr">
        <is>
          <t>Tiempo objetivo</t>
        </is>
      </c>
      <c r="C32" s="6" t="inlineStr">
        <is>
          <t>Menos de 2 minutos</t>
        </is>
      </c>
    </row>
    <row r="33">
      <c r="B33" s="10" t="inlineStr">
        <is>
          <t>Rendimiento</t>
        </is>
      </c>
      <c r="C33" s="6" t="inlineStr">
        <is>
          <t>1 vaso 12 oz</t>
        </is>
      </c>
    </row>
    <row r="34">
      <c r="B34" s="10" t="inlineStr">
        <is>
          <t>Equipo</t>
        </is>
      </c>
      <c r="C34" s="6" t="inlineStr">
        <is>
          <t>Licuadora</t>
        </is>
      </c>
    </row>
    <row r="35">
      <c r="B35" s="10" t="inlineStr">
        <is>
          <t>Costo real por unidad</t>
        </is>
      </c>
      <c r="C35" s="43">
        <f>IFERROR(INDEX(PRODUCTOS!$D$5:$D$44,MATCH("Oreo s/alcohol",PRODUCTOS!$B$5:$B$44,0)),"")</f>
        <v/>
      </c>
      <c r="D35" s="2" t="inlineStr">
        <is>
          <t>(se actualiza solo desde INSUMOS)</t>
        </is>
      </c>
    </row>
    <row r="37">
      <c r="B37" s="44" t="inlineStr">
        <is>
          <t>Paso</t>
        </is>
      </c>
      <c r="C37" s="44" t="inlineStr">
        <is>
          <t>Que hacer</t>
        </is>
      </c>
      <c r="D37" s="44" t="inlineStr">
        <is>
          <t>Tiempo</t>
        </is>
      </c>
      <c r="E37" s="45" t="n"/>
      <c r="F37" s="45" t="n"/>
    </row>
    <row r="38" ht="26" customHeight="1">
      <c r="B38" s="46" t="inlineStr">
        <is>
          <t>1</t>
        </is>
      </c>
      <c r="C38" s="47" t="inlineStr">
        <is>
          <t>Meter 150 g de hielo (~10 cubos) en la licuadora.</t>
        </is>
      </c>
      <c r="D38" s="48" t="inlineStr">
        <is>
          <t>10 seg</t>
        </is>
      </c>
    </row>
    <row r="39" ht="26" customHeight="1">
      <c r="B39" s="46" t="inlineStr">
        <is>
          <t>2</t>
        </is>
      </c>
      <c r="C39" s="47" t="inlineStr">
        <is>
          <t>Agregar 100 ml de leche entera.</t>
        </is>
      </c>
      <c r="D39" s="48" t="inlineStr">
        <is>
          <t>5 seg</t>
        </is>
      </c>
    </row>
    <row r="40" ht="26" customHeight="1">
      <c r="B40" s="46" t="inlineStr">
        <is>
          <t>3</t>
        </is>
      </c>
      <c r="C40" s="47" t="inlineStr">
        <is>
          <t>Agregar 3 galletas Oreo enteras. RESERVAR 1 galleta para decorar.</t>
        </is>
      </c>
      <c r="D40" s="48" t="inlineStr">
        <is>
          <t>10 seg</t>
        </is>
      </c>
    </row>
    <row r="41" ht="26" customHeight="1">
      <c r="B41" s="46" t="inlineStr">
        <is>
          <t>4</t>
        </is>
      </c>
      <c r="C41" s="47" t="inlineStr">
        <is>
          <t>Licuar 20-25 segundos hasta textura cremosa y espesa.</t>
        </is>
      </c>
      <c r="D41" s="48" t="inlineStr">
        <is>
          <t>25 seg</t>
        </is>
      </c>
    </row>
    <row r="42" ht="26" customHeight="1">
      <c r="B42" s="46" t="inlineStr">
        <is>
          <t>5</t>
        </is>
      </c>
      <c r="C42" s="47" t="inlineStr">
        <is>
          <t>CONTROL: debe quedar espeso como helado suave. Si queda liquido, agregar hielo y volver a licuar.</t>
        </is>
      </c>
      <c r="D42" s="48" t="inlineStr">
        <is>
          <t>-</t>
        </is>
      </c>
    </row>
    <row r="43" ht="26" customHeight="1">
      <c r="B43" s="46" t="inlineStr">
        <is>
          <t>6</t>
        </is>
      </c>
      <c r="C43" s="47" t="inlineStr">
        <is>
          <t>Verter en el vaso 12 oz.</t>
        </is>
      </c>
      <c r="D43" s="48" t="inlineStr">
        <is>
          <t>10 seg</t>
        </is>
      </c>
    </row>
    <row r="44" ht="26" customHeight="1">
      <c r="B44" s="46" t="inlineStr">
        <is>
          <t>7</t>
        </is>
      </c>
      <c r="C44" s="47" t="inlineStr">
        <is>
          <t>SOLO c/alcohol: agregar 30 ml y mezclar con pitillo 2-3 veces.</t>
        </is>
      </c>
      <c r="D44" s="48" t="inlineStr">
        <is>
          <t>10 seg</t>
        </is>
      </c>
    </row>
    <row r="45" ht="26" customHeight="1">
      <c r="B45" s="46" t="inlineStr">
        <is>
          <t>8</t>
        </is>
      </c>
      <c r="C45" s="47" t="inlineStr">
        <is>
          <t>Triturar la galleta reservada y espolvorear encima.</t>
        </is>
      </c>
      <c r="D45" s="48" t="inlineStr">
        <is>
          <t>15 seg</t>
        </is>
      </c>
    </row>
    <row r="46" ht="26" customHeight="1">
      <c r="B46" s="46" t="inlineStr">
        <is>
          <t>9</t>
        </is>
      </c>
      <c r="C46" s="47" t="inlineStr">
        <is>
          <t>Tapa + pitillo. Entregar.</t>
        </is>
      </c>
      <c r="D46" s="48" t="inlineStr">
        <is>
          <t>10 seg</t>
        </is>
      </c>
    </row>
    <row r="48">
      <c r="B48" s="49" t="inlineStr">
        <is>
          <t>CONTROL DE CALIDAD antes de entregar</t>
        </is>
      </c>
    </row>
    <row r="49">
      <c r="C49" s="6" t="inlineStr">
        <is>
          <t>[  ]  Textura espesa tipo smoothie helado</t>
        </is>
      </c>
    </row>
    <row r="50">
      <c r="C50" s="6" t="inlineStr">
        <is>
          <t>[  ]  Sabor intenso a Oreo (si esta suave: 1 galleta mas)</t>
        </is>
      </c>
    </row>
    <row r="51">
      <c r="C51" s="6" t="inlineStr">
        <is>
          <t>[  ]  Decoracion visible arriba</t>
        </is>
      </c>
    </row>
    <row r="52">
      <c r="C52" s="6" t="inlineStr">
        <is>
          <t>[  ]  Muy frio al tacto</t>
        </is>
      </c>
    </row>
    <row r="54">
      <c r="B54" s="50" t="inlineStr">
        <is>
          <t>SI ALGO SALE MAL</t>
        </is>
      </c>
    </row>
    <row r="55">
      <c r="C55" s="6" t="inlineStr">
        <is>
          <t>- Queda aguado -&gt; falto hielo o sobro leche</t>
        </is>
      </c>
    </row>
    <row r="56">
      <c r="C56" s="6" t="inlineStr">
        <is>
          <t>- Sabor plano -&gt; agregar 1 galleta</t>
        </is>
      </c>
    </row>
    <row r="57">
      <c r="B57" s="10" t="inlineStr">
        <is>
          <t>NOTA</t>
        </is>
      </c>
      <c r="C57" s="51" t="inlineStr">
        <is>
          <t>Limpiar la licuadora OBLIGATORIAMENTE entre cada especial.</t>
        </is>
      </c>
    </row>
    <row r="60" ht="22" customHeight="1">
      <c r="B60" s="41" t="inlineStr">
        <is>
          <t>Granizado especial NUTELLA</t>
        </is>
      </c>
      <c r="C60" s="42" t="n"/>
      <c r="D60" s="42" t="n"/>
      <c r="E60" s="42" t="n"/>
      <c r="F60" s="42" t="n"/>
    </row>
    <row r="61">
      <c r="B61" s="10" t="inlineStr">
        <is>
          <t>Tiempo objetivo</t>
        </is>
      </c>
      <c r="C61" s="6" t="inlineStr">
        <is>
          <t>Menos de 2 minutos</t>
        </is>
      </c>
    </row>
    <row r="62">
      <c r="B62" s="10" t="inlineStr">
        <is>
          <t>Rendimiento</t>
        </is>
      </c>
      <c r="C62" s="6" t="inlineStr">
        <is>
          <t>1 vaso 12 oz</t>
        </is>
      </c>
    </row>
    <row r="63">
      <c r="B63" s="10" t="inlineStr">
        <is>
          <t>Equipo</t>
        </is>
      </c>
      <c r="C63" s="6" t="inlineStr">
        <is>
          <t>Licuadora</t>
        </is>
      </c>
    </row>
    <row r="64">
      <c r="B64" s="10" t="inlineStr">
        <is>
          <t>Costo real por unidad</t>
        </is>
      </c>
      <c r="C64" s="43">
        <f>IFERROR(INDEX(PRODUCTOS!$D$5:$D$44,MATCH("Nutella s/alcohol",PRODUCTOS!$B$5:$B$44,0)),"")</f>
        <v/>
      </c>
      <c r="D64" s="2" t="inlineStr">
        <is>
          <t>(se actualiza solo desde INSUMOS)</t>
        </is>
      </c>
    </row>
    <row r="66">
      <c r="B66" s="44" t="inlineStr">
        <is>
          <t>Paso</t>
        </is>
      </c>
      <c r="C66" s="44" t="inlineStr">
        <is>
          <t>Que hacer</t>
        </is>
      </c>
      <c r="D66" s="44" t="inlineStr">
        <is>
          <t>Tiempo</t>
        </is>
      </c>
      <c r="E66" s="45" t="n"/>
      <c r="F66" s="45" t="n"/>
    </row>
    <row r="67" ht="26" customHeight="1">
      <c r="B67" s="46" t="inlineStr">
        <is>
          <t>1</t>
        </is>
      </c>
      <c r="C67" s="47" t="inlineStr">
        <is>
          <t>Meter 150 g de hielo en la licuadora.</t>
        </is>
      </c>
      <c r="D67" s="48" t="inlineStr">
        <is>
          <t>10 seg</t>
        </is>
      </c>
    </row>
    <row r="68" ht="26" customHeight="1">
      <c r="B68" s="46" t="inlineStr">
        <is>
          <t>2</t>
        </is>
      </c>
      <c r="C68" s="47" t="inlineStr">
        <is>
          <t>Agregar 120 ml de leche entera.</t>
        </is>
      </c>
      <c r="D68" s="48" t="inlineStr">
        <is>
          <t>5 seg</t>
        </is>
      </c>
    </row>
    <row r="69" ht="26" customHeight="1">
      <c r="B69" s="46" t="inlineStr">
        <is>
          <t>3</t>
        </is>
      </c>
      <c r="C69" s="47" t="inlineStr">
        <is>
          <t>Agregar 2 cucharadas soperas de Nutella (~30 g), a temperatura ambiente.</t>
        </is>
      </c>
      <c r="D69" s="48" t="inlineStr">
        <is>
          <t>15 seg</t>
        </is>
      </c>
    </row>
    <row r="70" ht="26" customHeight="1">
      <c r="B70" s="46" t="inlineStr">
        <is>
          <t>4</t>
        </is>
      </c>
      <c r="C70" s="47" t="inlineStr">
        <is>
          <t>Licuar 25-30 segundos hasta que quede cremoso y SIN grumos.</t>
        </is>
      </c>
      <c r="D70" s="48" t="inlineStr">
        <is>
          <t>30 seg</t>
        </is>
      </c>
    </row>
    <row r="71" ht="26" customHeight="1">
      <c r="B71" s="46" t="inlineStr">
        <is>
          <t>5</t>
        </is>
      </c>
      <c r="C71" s="47" t="inlineStr">
        <is>
          <t>CONTROL: revisar que no queden pelotitas de Nutella sin mezclar.</t>
        </is>
      </c>
      <c r="D71" s="48" t="inlineStr">
        <is>
          <t>-</t>
        </is>
      </c>
    </row>
    <row r="72" ht="26" customHeight="1">
      <c r="B72" s="46" t="inlineStr">
        <is>
          <t>6</t>
        </is>
      </c>
      <c r="C72" s="47" t="inlineStr">
        <is>
          <t>Verter en el vaso 12 oz.</t>
        </is>
      </c>
      <c r="D72" s="48" t="inlineStr">
        <is>
          <t>10 seg</t>
        </is>
      </c>
    </row>
    <row r="73" ht="26" customHeight="1">
      <c r="B73" s="46" t="inlineStr">
        <is>
          <t>7</t>
        </is>
      </c>
      <c r="C73" s="47" t="inlineStr">
        <is>
          <t>SOLO c/alcohol: 30 ml y mezclar suavemente.</t>
        </is>
      </c>
      <c r="D73" s="48" t="inlineStr">
        <is>
          <t>10 seg</t>
        </is>
      </c>
    </row>
    <row r="74" ht="26" customHeight="1">
      <c r="B74" s="46" t="inlineStr">
        <is>
          <t>8</t>
        </is>
      </c>
      <c r="C74" s="47" t="inlineStr">
        <is>
          <t>Decorar con un hilo de Nutella encima (para foto).</t>
        </is>
      </c>
      <c r="D74" s="48" t="inlineStr">
        <is>
          <t>10 seg</t>
        </is>
      </c>
    </row>
    <row r="75" ht="26" customHeight="1">
      <c r="B75" s="46" t="inlineStr">
        <is>
          <t>9</t>
        </is>
      </c>
      <c r="C75" s="47" t="inlineStr">
        <is>
          <t>Tapa + pitillo. Entregar.</t>
        </is>
      </c>
      <c r="D75" s="48" t="inlineStr">
        <is>
          <t>10 seg</t>
        </is>
      </c>
    </row>
    <row r="77">
      <c r="B77" s="49" t="inlineStr">
        <is>
          <t>CONTROL DE CALIDAD antes de entregar</t>
        </is>
      </c>
    </row>
    <row r="78">
      <c r="C78" s="6" t="inlineStr">
        <is>
          <t>[  ]  Sin grumos</t>
        </is>
      </c>
    </row>
    <row r="79">
      <c r="C79" s="6" t="inlineStr">
        <is>
          <t>[  ]  Textura espesa</t>
        </is>
      </c>
    </row>
    <row r="80">
      <c r="C80" s="6" t="inlineStr">
        <is>
          <t>[  ]  Hilo de Nutella visible</t>
        </is>
      </c>
    </row>
    <row r="81">
      <c r="C81" s="6" t="inlineStr">
        <is>
          <t>[  ]  Muy frio</t>
        </is>
      </c>
    </row>
    <row r="83">
      <c r="B83" s="50" t="inlineStr">
        <is>
          <t>SI ALGO SALE MAL</t>
        </is>
      </c>
    </row>
    <row r="84">
      <c r="C84" s="6" t="inlineStr">
        <is>
          <t>- Grumos -&gt; la Nutella estaba fria, sacarla de la nevera antes</t>
        </is>
      </c>
    </row>
    <row r="85">
      <c r="C85" s="6" t="inlineStr">
        <is>
          <t>- Sabor amargo -&gt; agregar 1 cucharadita de azucar</t>
        </is>
      </c>
    </row>
    <row r="86">
      <c r="B86" s="10" t="inlineStr">
        <is>
          <t>NOTA</t>
        </is>
      </c>
      <c r="C86" s="51" t="inlineStr">
        <is>
          <t>Limpiar la licuadora OBLIGATORIAMENTE entre cada especial.</t>
        </is>
      </c>
    </row>
    <row r="89" ht="22" customHeight="1">
      <c r="B89" s="41" t="inlineStr">
        <is>
          <t>Granizado especial CAFE</t>
        </is>
      </c>
      <c r="C89" s="42" t="n"/>
      <c r="D89" s="42" t="n"/>
      <c r="E89" s="42" t="n"/>
      <c r="F89" s="42" t="n"/>
    </row>
    <row r="90">
      <c r="B90" s="10" t="inlineStr">
        <is>
          <t>Tiempo objetivo</t>
        </is>
      </c>
      <c r="C90" s="6" t="inlineStr">
        <is>
          <t>Menos de 2 minutos</t>
        </is>
      </c>
    </row>
    <row r="91">
      <c r="B91" s="10" t="inlineStr">
        <is>
          <t>Rendimiento</t>
        </is>
      </c>
      <c r="C91" s="6" t="inlineStr">
        <is>
          <t>1 vaso 12 oz</t>
        </is>
      </c>
    </row>
    <row r="92">
      <c r="B92" s="10" t="inlineStr">
        <is>
          <t>Equipo</t>
        </is>
      </c>
      <c r="C92" s="6" t="inlineStr">
        <is>
          <t>Licuadora</t>
        </is>
      </c>
    </row>
    <row r="93">
      <c r="B93" s="10" t="inlineStr">
        <is>
          <t>Costo real por unidad</t>
        </is>
      </c>
      <c r="C93" s="43">
        <f>IFERROR(INDEX(PRODUCTOS!$D$5:$D$44,MATCH("Cafe s/alcohol",PRODUCTOS!$B$5:$B$44,0)),"")</f>
        <v/>
      </c>
      <c r="D93" s="2" t="inlineStr">
        <is>
          <t>(se actualiza solo desde INSUMOS)</t>
        </is>
      </c>
    </row>
    <row r="95">
      <c r="B95" s="44" t="inlineStr">
        <is>
          <t>Paso</t>
        </is>
      </c>
      <c r="C95" s="44" t="inlineStr">
        <is>
          <t>Que hacer</t>
        </is>
      </c>
      <c r="D95" s="44" t="inlineStr">
        <is>
          <t>Tiempo</t>
        </is>
      </c>
      <c r="E95" s="45" t="n"/>
      <c r="F95" s="45" t="n"/>
    </row>
    <row r="96" ht="26" customHeight="1">
      <c r="B96" s="46" t="inlineStr">
        <is>
          <t>1</t>
        </is>
      </c>
      <c r="C96" s="47" t="inlineStr">
        <is>
          <t>Disolver 2 cucharaditas de cafe soluble en 20 ml de agua caliente. NUNCA en polvo directo.</t>
        </is>
      </c>
      <c r="D96" s="48" t="inlineStr">
        <is>
          <t>20 seg</t>
        </is>
      </c>
    </row>
    <row r="97" ht="26" customHeight="1">
      <c r="B97" s="46" t="inlineStr">
        <is>
          <t>2</t>
        </is>
      </c>
      <c r="C97" s="47" t="inlineStr">
        <is>
          <t>Meter 160 g de hielo (~11 cubos) en la licuadora.</t>
        </is>
      </c>
      <c r="D97" s="48" t="inlineStr">
        <is>
          <t>10 seg</t>
        </is>
      </c>
    </row>
    <row r="98" ht="26" customHeight="1">
      <c r="B98" s="46" t="inlineStr">
        <is>
          <t>3</t>
        </is>
      </c>
      <c r="C98" s="47" t="inlineStr">
        <is>
          <t>Agregar 80 ml de leche entera + 20 ml de leche condensada + el cafe disuelto.</t>
        </is>
      </c>
      <c r="D98" s="48" t="inlineStr">
        <is>
          <t>15 seg</t>
        </is>
      </c>
    </row>
    <row r="99" ht="26" customHeight="1">
      <c r="B99" s="46" t="inlineStr">
        <is>
          <t>4</t>
        </is>
      </c>
      <c r="C99" s="47" t="inlineStr">
        <is>
          <t>Licuar 20 segundos.</t>
        </is>
      </c>
      <c r="D99" s="48" t="inlineStr">
        <is>
          <t>20 seg</t>
        </is>
      </c>
    </row>
    <row r="100" ht="26" customHeight="1">
      <c r="B100" s="46" t="inlineStr">
        <is>
          <t>5</t>
        </is>
      </c>
      <c r="C100" s="47" t="inlineStr">
        <is>
          <t>CONTROL: textura espesa y fria. Si esta liquido, agregar hielo.</t>
        </is>
      </c>
      <c r="D100" s="48" t="inlineStr">
        <is>
          <t>-</t>
        </is>
      </c>
    </row>
    <row r="101" ht="26" customHeight="1">
      <c r="B101" s="46" t="inlineStr">
        <is>
          <t>6</t>
        </is>
      </c>
      <c r="C101" s="47" t="inlineStr">
        <is>
          <t>Verter en el vaso 12 oz.</t>
        </is>
      </c>
      <c r="D101" s="48" t="inlineStr">
        <is>
          <t>10 seg</t>
        </is>
      </c>
    </row>
    <row r="102" ht="26" customHeight="1">
      <c r="B102" s="46" t="inlineStr">
        <is>
          <t>7</t>
        </is>
      </c>
      <c r="C102" s="47" t="inlineStr">
        <is>
          <t>SOLO c/alcohol: 30 ml de licor de cafe (ideal) o vodka. Mezclar suave.</t>
        </is>
      </c>
      <c r="D102" s="48" t="inlineStr">
        <is>
          <t>10 seg</t>
        </is>
      </c>
    </row>
    <row r="103" ht="26" customHeight="1">
      <c r="B103" s="46" t="inlineStr">
        <is>
          <t>8</t>
        </is>
      </c>
      <c r="C103" s="47" t="inlineStr">
        <is>
          <t>Tapa + pitillo. Entregar.</t>
        </is>
      </c>
      <c r="D103" s="48" t="inlineStr">
        <is>
          <t>10 seg</t>
        </is>
      </c>
    </row>
    <row r="105">
      <c r="B105" s="49" t="inlineStr">
        <is>
          <t>CONTROL DE CALIDAD antes de entregar</t>
        </is>
      </c>
    </row>
    <row r="106">
      <c r="C106" s="6" t="inlineStr">
        <is>
          <t>[  ]  Sin grumos de cafe</t>
        </is>
      </c>
    </row>
    <row r="107">
      <c r="C107" s="6" t="inlineStr">
        <is>
          <t>[  ]  Dulzor equilibrado (lo da la leche condensada)</t>
        </is>
      </c>
    </row>
    <row r="108">
      <c r="C108" s="6" t="inlineStr">
        <is>
          <t>[  ]  Textura espesa</t>
        </is>
      </c>
    </row>
    <row r="109">
      <c r="C109" s="6" t="inlineStr">
        <is>
          <t>[  ]  Muy frio</t>
        </is>
      </c>
    </row>
    <row r="111">
      <c r="B111" s="50" t="inlineStr">
        <is>
          <t>SI ALGO SALE MAL</t>
        </is>
      </c>
    </row>
    <row r="112">
      <c r="C112" s="6" t="inlineStr">
        <is>
          <t>- Grumoso -&gt; el cafe no se disolvio primero</t>
        </is>
      </c>
    </row>
    <row r="113">
      <c r="C113" s="6" t="inlineStr">
        <is>
          <t>- Poco dulce -&gt; media cucharada mas de condensada</t>
        </is>
      </c>
    </row>
    <row r="114">
      <c r="B114" s="10" t="inlineStr">
        <is>
          <t>NOTA</t>
        </is>
      </c>
      <c r="C114" s="51" t="inlineStr">
        <is>
          <t>Limpiar la licuadora OBLIGATORIAMENTE entre cada especial.</t>
        </is>
      </c>
    </row>
    <row r="117" ht="22" customHeight="1">
      <c r="B117" s="41" t="inlineStr">
        <is>
          <t>PAPAS FRITAS EN CONO</t>
        </is>
      </c>
      <c r="C117" s="42" t="n"/>
      <c r="D117" s="42" t="n"/>
      <c r="E117" s="42" t="n"/>
      <c r="F117" s="42" t="n"/>
    </row>
    <row r="118">
      <c r="B118" s="10" t="inlineStr">
        <is>
          <t>Tiempo objetivo</t>
        </is>
      </c>
      <c r="C118" s="6" t="inlineStr">
        <is>
          <t>3-4 minutos (con aceite ya caliente)</t>
        </is>
      </c>
    </row>
    <row r="119">
      <c r="B119" s="10" t="inlineStr">
        <is>
          <t>Rendimiento</t>
        </is>
      </c>
      <c r="C119" s="6" t="inlineStr">
        <is>
          <t>1 cono (~200 g de papa)</t>
        </is>
      </c>
    </row>
    <row r="120">
      <c r="B120" s="10" t="inlineStr">
        <is>
          <t>Equipo</t>
        </is>
      </c>
      <c r="C120" s="6" t="inlineStr">
        <is>
          <t>Freidora / sarten hondo</t>
        </is>
      </c>
    </row>
    <row r="121">
      <c r="B121" s="10" t="inlineStr">
        <is>
          <t>Costo real por unidad</t>
        </is>
      </c>
      <c r="C121" s="43">
        <f>IFERROR(INDEX(PRODUCTOS!$D$5:$D$44,MATCH("Papas en cono natural",PRODUCTOS!$B$5:$B$44,0)),"")</f>
        <v/>
      </c>
      <c r="D121" s="2" t="inlineStr">
        <is>
          <t>(se actualiza solo desde INSUMOS)</t>
        </is>
      </c>
    </row>
    <row r="123">
      <c r="B123" s="44" t="inlineStr">
        <is>
          <t>Paso</t>
        </is>
      </c>
      <c r="C123" s="44" t="inlineStr">
        <is>
          <t>Que hacer</t>
        </is>
      </c>
      <c r="D123" s="44" t="inlineStr">
        <is>
          <t>Tiempo</t>
        </is>
      </c>
      <c r="E123" s="45" t="n"/>
      <c r="F123" s="45" t="n"/>
    </row>
    <row r="124" ht="26" customHeight="1">
      <c r="B124" s="46" t="inlineStr">
        <is>
          <t>1</t>
        </is>
      </c>
      <c r="C124" s="47" t="inlineStr">
        <is>
          <t>Precalentar el aceite a 175-180 C antes de abrir. Mantenerlo caliente todo el turno.</t>
        </is>
      </c>
      <c r="D124" s="48" t="inlineStr">
        <is>
          <t>-</t>
        </is>
      </c>
    </row>
    <row r="125" ht="26" customHeight="1">
      <c r="B125" s="46" t="inlineStr">
        <is>
          <t>2</t>
        </is>
      </c>
      <c r="C125" s="47" t="inlineStr">
        <is>
          <t>Pesar 200 g de papa cortada.</t>
        </is>
      </c>
      <c r="D125" s="48" t="inlineStr">
        <is>
          <t>20 seg</t>
        </is>
      </c>
    </row>
    <row r="126" ht="26" customHeight="1">
      <c r="B126" s="46" t="inlineStr">
        <is>
          <t>3</t>
        </is>
      </c>
      <c r="C126" s="47" t="inlineStr">
        <is>
          <t>Freir 3-4 minutos hasta dorado uniforme.</t>
        </is>
      </c>
      <c r="D126" s="48" t="inlineStr">
        <is>
          <t>4 min</t>
        </is>
      </c>
    </row>
    <row r="127" ht="26" customHeight="1">
      <c r="B127" s="46" t="inlineStr">
        <is>
          <t>4</t>
        </is>
      </c>
      <c r="C127" s="47" t="inlineStr">
        <is>
          <t>Escurrir bien sobre rejilla o papel. CONTROL: no deben quedar aceitosas.</t>
        </is>
      </c>
      <c r="D127" s="48" t="inlineStr">
        <is>
          <t>20 seg</t>
        </is>
      </c>
    </row>
    <row r="128" ht="26" customHeight="1">
      <c r="B128" s="46" t="inlineStr">
        <is>
          <t>5</t>
        </is>
      </c>
      <c r="C128" s="47" t="inlineStr">
        <is>
          <t>Salar de inmediato mientras estan calientes (2 g).</t>
        </is>
      </c>
      <c r="D128" s="48" t="inlineStr">
        <is>
          <t>10 seg</t>
        </is>
      </c>
    </row>
    <row r="129" ht="26" customHeight="1">
      <c r="B129" s="46" t="inlineStr">
        <is>
          <t>6</t>
        </is>
      </c>
      <c r="C129" s="47" t="inlineStr">
        <is>
          <t>Servir en el cono de papel. Version + salsa: agregar el sachet elegido.</t>
        </is>
      </c>
      <c r="D129" s="48" t="inlineStr">
        <is>
          <t>15 seg</t>
        </is>
      </c>
    </row>
    <row r="131">
      <c r="B131" s="49" t="inlineStr">
        <is>
          <t>CONTROL DE CALIDAD antes de entregar</t>
        </is>
      </c>
    </row>
    <row r="132">
      <c r="C132" s="6" t="inlineStr">
        <is>
          <t>[  ]  Dorado uniforme, no palidas ni quemadas</t>
        </is>
      </c>
    </row>
    <row r="133">
      <c r="C133" s="6" t="inlineStr">
        <is>
          <t>[  ]  Crujientes por fuera</t>
        </is>
      </c>
    </row>
    <row r="134">
      <c r="C134" s="6" t="inlineStr">
        <is>
          <t>[  ]  No aceitosas</t>
        </is>
      </c>
    </row>
    <row r="135">
      <c r="C135" s="6" t="inlineStr">
        <is>
          <t>[  ]  Saladas en caliente</t>
        </is>
      </c>
    </row>
    <row r="137">
      <c r="B137" s="50" t="inlineStr">
        <is>
          <t>SI ALGO SALE MAL</t>
        </is>
      </c>
    </row>
    <row r="138">
      <c r="C138" s="6" t="inlineStr">
        <is>
          <t>- Blandas -&gt; aceite frio o sobrecarga de la freidora</t>
        </is>
      </c>
    </row>
    <row r="139">
      <c r="C139" s="6" t="inlineStr">
        <is>
          <t>- Quemadas -&gt; aceite muy caliente o demasiado tiempo</t>
        </is>
      </c>
    </row>
    <row r="140">
      <c r="C140" s="6" t="inlineStr">
        <is>
          <t>- Sabor rancio -&gt; aceite reutilizado de mas, cambiarlo</t>
        </is>
      </c>
    </row>
    <row r="141">
      <c r="B141" s="10" t="inlineStr">
        <is>
          <t>NOTA</t>
        </is>
      </c>
      <c r="C141" s="51" t="inlineStr">
        <is>
          <t>Cambiar el aceite cada 3 dias o antes si se oscurece. El aceite viejo arruina el producto.</t>
        </is>
      </c>
    </row>
    <row r="144">
      <c r="B144" s="50" t="inlineStr">
        <is>
          <t>Si cambias una receta aqui, cambiala TAMBIEN en la hoja RECETAS o el costo dejara de ser real.</t>
        </is>
      </c>
    </row>
  </sheetData>
  <mergeCells count="38">
    <mergeCell ref="C39"/>
    <mergeCell ref="C67"/>
    <mergeCell ref="C125"/>
    <mergeCell ref="C38"/>
    <mergeCell ref="C72"/>
    <mergeCell ref="C13"/>
    <mergeCell ref="C102"/>
    <mergeCell ref="C69"/>
    <mergeCell ref="C96"/>
    <mergeCell ref="C101"/>
    <mergeCell ref="C68"/>
    <mergeCell ref="C15"/>
    <mergeCell ref="C42"/>
    <mergeCell ref="C14"/>
    <mergeCell ref="C98"/>
    <mergeCell ref="C74"/>
    <mergeCell ref="C126"/>
    <mergeCell ref="C45"/>
    <mergeCell ref="C97"/>
    <mergeCell ref="C128"/>
    <mergeCell ref="C73"/>
    <mergeCell ref="C100"/>
    <mergeCell ref="C103"/>
    <mergeCell ref="C16"/>
    <mergeCell ref="C99"/>
    <mergeCell ref="C44"/>
    <mergeCell ref="C41"/>
    <mergeCell ref="C124"/>
    <mergeCell ref="C75"/>
    <mergeCell ref="C40"/>
    <mergeCell ref="C127"/>
    <mergeCell ref="C129"/>
    <mergeCell ref="C43"/>
    <mergeCell ref="C12"/>
    <mergeCell ref="C11"/>
    <mergeCell ref="C46"/>
    <mergeCell ref="C71"/>
    <mergeCell ref="C7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D7D31"/>
    <outlinePr summaryBelow="1" summaryRight="1"/>
    <pageSetUpPr/>
  </sheetPr>
  <dimension ref="A1:H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4" customWidth="1" min="4" max="4"/>
    <col width="18" customWidth="1" min="5" max="5"/>
    <col width="14" customWidth="1" min="6" max="6"/>
    <col width="14" customWidth="1" min="7" max="7"/>
    <col width="16" customWidth="1" min="8" max="8"/>
  </cols>
  <sheetData>
    <row r="1" ht="24" customHeight="1">
      <c r="A1" s="1" t="inlineStr">
        <is>
          <t>INVENTARIO</t>
        </is>
      </c>
    </row>
    <row r="2">
      <c r="A2" s="2" t="inlineStr">
        <is>
          <t>Consumo estimado calculado automaticamente desde las VENTAS del mes del DASHBOARD.</t>
        </is>
      </c>
    </row>
    <row r="4" ht="30" customHeight="1">
      <c r="A4" s="25" t="inlineStr">
        <is>
          <t>Insumo</t>
        </is>
      </c>
      <c r="B4" s="25" t="inlineStr">
        <is>
          <t>Unidad base</t>
        </is>
      </c>
      <c r="C4" s="25" t="inlineStr">
        <is>
          <t>Stock inicial del mes</t>
        </is>
      </c>
      <c r="D4" s="25" t="inlineStr">
        <is>
          <t>Compras del mes</t>
        </is>
      </c>
      <c r="E4" s="25" t="inlineStr">
        <is>
          <t>Consumo estimado por ventas</t>
        </is>
      </c>
      <c r="F4" s="25" t="inlineStr">
        <is>
          <t>STOCK ACTUAL</t>
        </is>
      </c>
      <c r="G4" s="25" t="inlineStr">
        <is>
          <t>Punto de reorden</t>
        </is>
      </c>
      <c r="H4" s="25" t="inlineStr">
        <is>
          <t>ALERTA</t>
        </is>
      </c>
    </row>
    <row r="5">
      <c r="A5" s="28" t="inlineStr">
        <is>
          <t>Jarabe Coco</t>
        </is>
      </c>
      <c r="B5" s="52">
        <f>IFERROR(IF($A5="","",INDEX(INSUMOS!$G$5:$G$84,MATCH($A5,INSUMOS!$B$5:$B$84,0))),"")</f>
        <v/>
      </c>
      <c r="C5" s="36" t="n"/>
      <c r="D5" s="36" t="n"/>
      <c r="E5" s="53">
        <f>IF($A5="","",SUMIFS(RECETAS!$J$5:$J$254,RECETAS!$C$5:$C$254,$A5))</f>
        <v/>
      </c>
      <c r="F5" s="53">
        <f>IF($A5="","",N($C5)+N($D5)-N($E5))</f>
        <v/>
      </c>
      <c r="G5" s="36" t="n">
        <v>0</v>
      </c>
      <c r="H5" s="27">
        <f>IF($A5="","",IF(AND(N($C5)=0,N($D5)=0),"SIN DATOS",IF($F5&lt;=$G5,"COMPRAR YA","OK")))</f>
        <v/>
      </c>
    </row>
    <row r="6">
      <c r="A6" s="28" t="inlineStr">
        <is>
          <t>Jarabe Frutos Rojos</t>
        </is>
      </c>
      <c r="B6" s="52">
        <f>IFERROR(IF($A6="","",INDEX(INSUMOS!$G$5:$G$84,MATCH($A6,INSUMOS!$B$5:$B$84,0))),"")</f>
        <v/>
      </c>
      <c r="C6" s="36" t="n"/>
      <c r="D6" s="36" t="n"/>
      <c r="E6" s="53">
        <f>IF($A6="","",SUMIFS(RECETAS!$J$5:$J$254,RECETAS!$C$5:$C$254,$A6))</f>
        <v/>
      </c>
      <c r="F6" s="53">
        <f>IF($A6="","",N($C6)+N($D6)-N($E6))</f>
        <v/>
      </c>
      <c r="G6" s="36" t="n">
        <v>0</v>
      </c>
      <c r="H6" s="27">
        <f>IF($A6="","",IF(AND(N($C6)=0,N($D6)=0),"SIN DATOS",IF($F6&lt;=$G6,"COMPRAR YA","OK")))</f>
        <v/>
      </c>
    </row>
    <row r="7">
      <c r="A7" s="28" t="inlineStr">
        <is>
          <t>Jarabe Maracuya</t>
        </is>
      </c>
      <c r="B7" s="52">
        <f>IFERROR(IF($A7="","",INDEX(INSUMOS!$G$5:$G$84,MATCH($A7,INSUMOS!$B$5:$B$84,0))),"")</f>
        <v/>
      </c>
      <c r="C7" s="36" t="n"/>
      <c r="D7" s="36" t="n"/>
      <c r="E7" s="53">
        <f>IF($A7="","",SUMIFS(RECETAS!$J$5:$J$254,RECETAS!$C$5:$C$254,$A7))</f>
        <v/>
      </c>
      <c r="F7" s="53">
        <f>IF($A7="","",N($C7)+N($D7)-N($E7))</f>
        <v/>
      </c>
      <c r="G7" s="36" t="n">
        <v>0</v>
      </c>
      <c r="H7" s="27">
        <f>IF($A7="","",IF(AND(N($C7)=0,N($D7)=0),"SIN DATOS",IF($F7&lt;=$G7,"COMPRAR YA","OK")))</f>
        <v/>
      </c>
    </row>
    <row r="8">
      <c r="A8" s="28" t="inlineStr">
        <is>
          <t>Jarabe Naranja</t>
        </is>
      </c>
      <c r="B8" s="52">
        <f>IFERROR(IF($A8="","",INDEX(INSUMOS!$G$5:$G$84,MATCH($A8,INSUMOS!$B$5:$B$84,0))),"")</f>
        <v/>
      </c>
      <c r="C8" s="36" t="n"/>
      <c r="D8" s="36" t="n"/>
      <c r="E8" s="53">
        <f>IF($A8="","",SUMIFS(RECETAS!$J$5:$J$254,RECETAS!$C$5:$C$254,$A8))</f>
        <v/>
      </c>
      <c r="F8" s="53">
        <f>IF($A8="","",N($C8)+N($D8)-N($E8))</f>
        <v/>
      </c>
      <c r="G8" s="36" t="n">
        <v>0</v>
      </c>
      <c r="H8" s="27">
        <f>IF($A8="","",IF(AND(N($C8)=0,N($D8)=0),"SIN DATOS",IF($F8&lt;=$G8,"COMPRAR YA","OK")))</f>
        <v/>
      </c>
    </row>
    <row r="9">
      <c r="A9" s="28" t="inlineStr">
        <is>
          <t>Agua purificada</t>
        </is>
      </c>
      <c r="B9" s="52">
        <f>IFERROR(IF($A9="","",INDEX(INSUMOS!$G$5:$G$84,MATCH($A9,INSUMOS!$B$5:$B$84,0))),"")</f>
        <v/>
      </c>
      <c r="C9" s="36" t="n"/>
      <c r="D9" s="36" t="n"/>
      <c r="E9" s="53">
        <f>IF($A9="","",SUMIFS(RECETAS!$J$5:$J$254,RECETAS!$C$5:$C$254,$A9))</f>
        <v/>
      </c>
      <c r="F9" s="53">
        <f>IF($A9="","",N($C9)+N($D9)-N($E9))</f>
        <v/>
      </c>
      <c r="G9" s="36" t="n">
        <v>0</v>
      </c>
      <c r="H9" s="27">
        <f>IF($A9="","",IF(AND(N($C9)=0,N($D9)=0),"SIN DATOS",IF($F9&lt;=$G9,"COMPRAR YA","OK")))</f>
        <v/>
      </c>
    </row>
    <row r="10">
      <c r="A10" s="28" t="inlineStr">
        <is>
          <t>Energia maquina granizadora</t>
        </is>
      </c>
      <c r="B10" s="52">
        <f>IFERROR(IF($A10="","",INDEX(INSUMOS!$G$5:$G$84,MATCH($A10,INSUMOS!$B$5:$B$84,0))),"")</f>
        <v/>
      </c>
      <c r="C10" s="36" t="n"/>
      <c r="D10" s="36" t="n"/>
      <c r="E10" s="53">
        <f>IF($A10="","",SUMIFS(RECETAS!$J$5:$J$254,RECETAS!$C$5:$C$254,$A10))</f>
        <v/>
      </c>
      <c r="F10" s="53">
        <f>IF($A10="","",N($C10)+N($D10)-N($E10))</f>
        <v/>
      </c>
      <c r="G10" s="36" t="n">
        <v>0</v>
      </c>
      <c r="H10" s="27">
        <f>IF($A10="","",IF(AND(N($C10)=0,N($D10)=0),"SIN DATOS",IF($F10&lt;=$G10,"COMPRAR YA","OK")))</f>
        <v/>
      </c>
    </row>
    <row r="11">
      <c r="A11" s="28" t="inlineStr">
        <is>
          <t>Hielo en cubos</t>
        </is>
      </c>
      <c r="B11" s="52">
        <f>IFERROR(IF($A11="","",INDEX(INSUMOS!$G$5:$G$84,MATCH($A11,INSUMOS!$B$5:$B$84,0))),"")</f>
        <v/>
      </c>
      <c r="C11" s="36" t="n"/>
      <c r="D11" s="36" t="n"/>
      <c r="E11" s="53">
        <f>IF($A11="","",SUMIFS(RECETAS!$J$5:$J$254,RECETAS!$C$5:$C$254,$A11))</f>
        <v/>
      </c>
      <c r="F11" s="53">
        <f>IF($A11="","",N($C11)+N($D11)-N($E11))</f>
        <v/>
      </c>
      <c r="G11" s="36" t="n">
        <v>0</v>
      </c>
      <c r="H11" s="27">
        <f>IF($A11="","",IF(AND(N($C11)=0,N($D11)=0),"SIN DATOS",IF($F11&lt;=$G11,"COMPRAR YA","OK")))</f>
        <v/>
      </c>
    </row>
    <row r="12">
      <c r="A12" s="28" t="inlineStr">
        <is>
          <t>Leche entera</t>
        </is>
      </c>
      <c r="B12" s="52">
        <f>IFERROR(IF($A12="","",INDEX(INSUMOS!$G$5:$G$84,MATCH($A12,INSUMOS!$B$5:$B$84,0))),"")</f>
        <v/>
      </c>
      <c r="C12" s="36" t="n"/>
      <c r="D12" s="36" t="n"/>
      <c r="E12" s="53">
        <f>IF($A12="","",SUMIFS(RECETAS!$J$5:$J$254,RECETAS!$C$5:$C$254,$A12))</f>
        <v/>
      </c>
      <c r="F12" s="53">
        <f>IF($A12="","",N($C12)+N($D12)-N($E12))</f>
        <v/>
      </c>
      <c r="G12" s="36" t="n">
        <v>0</v>
      </c>
      <c r="H12" s="27">
        <f>IF($A12="","",IF(AND(N($C12)=0,N($D12)=0),"SIN DATOS",IF($F12&lt;=$G12,"COMPRAR YA","OK")))</f>
        <v/>
      </c>
    </row>
    <row r="13">
      <c r="A13" s="28" t="inlineStr">
        <is>
          <t>Leche condensada</t>
        </is>
      </c>
      <c r="B13" s="52">
        <f>IFERROR(IF($A13="","",INDEX(INSUMOS!$G$5:$G$84,MATCH($A13,INSUMOS!$B$5:$B$84,0))),"")</f>
        <v/>
      </c>
      <c r="C13" s="36" t="n"/>
      <c r="D13" s="36" t="n"/>
      <c r="E13" s="53">
        <f>IF($A13="","",SUMIFS(RECETAS!$J$5:$J$254,RECETAS!$C$5:$C$254,$A13))</f>
        <v/>
      </c>
      <c r="F13" s="53">
        <f>IF($A13="","",N($C13)+N($D13)-N($E13))</f>
        <v/>
      </c>
      <c r="G13" s="36" t="n">
        <v>0</v>
      </c>
      <c r="H13" s="27">
        <f>IF($A13="","",IF(AND(N($C13)=0,N($D13)=0),"SIN DATOS",IF($F13&lt;=$G13,"COMPRAR YA","OK")))</f>
        <v/>
      </c>
    </row>
    <row r="14">
      <c r="A14" s="28" t="inlineStr">
        <is>
          <t>Crema de leche</t>
        </is>
      </c>
      <c r="B14" s="52">
        <f>IFERROR(IF($A14="","",INDEX(INSUMOS!$G$5:$G$84,MATCH($A14,INSUMOS!$B$5:$B$84,0))),"")</f>
        <v/>
      </c>
      <c r="C14" s="36" t="n"/>
      <c r="D14" s="36" t="n"/>
      <c r="E14" s="53">
        <f>IF($A14="","",SUMIFS(RECETAS!$J$5:$J$254,RECETAS!$C$5:$C$254,$A14))</f>
        <v/>
      </c>
      <c r="F14" s="53">
        <f>IF($A14="","",N($C14)+N($D14)-N($E14))</f>
        <v/>
      </c>
      <c r="G14" s="36" t="n">
        <v>0</v>
      </c>
      <c r="H14" s="27">
        <f>IF($A14="","",IF(AND(N($C14)=0,N($D14)=0),"SIN DATOS",IF($F14&lt;=$G14,"COMPRAR YA","OK")))</f>
        <v/>
      </c>
    </row>
    <row r="15">
      <c r="A15" s="28" t="inlineStr">
        <is>
          <t>Galleta Oreo</t>
        </is>
      </c>
      <c r="B15" s="52">
        <f>IFERROR(IF($A15="","",INDEX(INSUMOS!$G$5:$G$84,MATCH($A15,INSUMOS!$B$5:$B$84,0))),"")</f>
        <v/>
      </c>
      <c r="C15" s="36" t="n"/>
      <c r="D15" s="36" t="n"/>
      <c r="E15" s="53">
        <f>IF($A15="","",SUMIFS(RECETAS!$J$5:$J$254,RECETAS!$C$5:$C$254,$A15))</f>
        <v/>
      </c>
      <c r="F15" s="53">
        <f>IF($A15="","",N($C15)+N($D15)-N($E15))</f>
        <v/>
      </c>
      <c r="G15" s="36" t="n">
        <v>0</v>
      </c>
      <c r="H15" s="27">
        <f>IF($A15="","",IF(AND(N($C15)=0,N($D15)=0),"SIN DATOS",IF($F15&lt;=$G15,"COMPRAR YA","OK")))</f>
        <v/>
      </c>
    </row>
    <row r="16">
      <c r="A16" s="28" t="inlineStr">
        <is>
          <t>Nutella</t>
        </is>
      </c>
      <c r="B16" s="52">
        <f>IFERROR(IF($A16="","",INDEX(INSUMOS!$G$5:$G$84,MATCH($A16,INSUMOS!$B$5:$B$84,0))),"")</f>
        <v/>
      </c>
      <c r="C16" s="36" t="n"/>
      <c r="D16" s="36" t="n"/>
      <c r="E16" s="53">
        <f>IF($A16="","",SUMIFS(RECETAS!$J$5:$J$254,RECETAS!$C$5:$C$254,$A16))</f>
        <v/>
      </c>
      <c r="F16" s="53">
        <f>IF($A16="","",N($C16)+N($D16)-N($E16))</f>
        <v/>
      </c>
      <c r="G16" s="36" t="n">
        <v>0</v>
      </c>
      <c r="H16" s="27">
        <f>IF($A16="","",IF(AND(N($C16)=0,N($D16)=0),"SIN DATOS",IF($F16&lt;=$G16,"COMPRAR YA","OK")))</f>
        <v/>
      </c>
    </row>
    <row r="17">
      <c r="A17" s="28" t="inlineStr">
        <is>
          <t>Cafe soluble</t>
        </is>
      </c>
      <c r="B17" s="52">
        <f>IFERROR(IF($A17="","",INDEX(INSUMOS!$G$5:$G$84,MATCH($A17,INSUMOS!$B$5:$B$84,0))),"")</f>
        <v/>
      </c>
      <c r="C17" s="36" t="n"/>
      <c r="D17" s="36" t="n"/>
      <c r="E17" s="53">
        <f>IF($A17="","",SUMIFS(RECETAS!$J$5:$J$254,RECETAS!$C$5:$C$254,$A17))</f>
        <v/>
      </c>
      <c r="F17" s="53">
        <f>IF($A17="","",N($C17)+N($D17)-N($E17))</f>
        <v/>
      </c>
      <c r="G17" s="36" t="n">
        <v>0</v>
      </c>
      <c r="H17" s="27">
        <f>IF($A17="","",IF(AND(N($C17)=0,N($D17)=0),"SIN DATOS",IF($F17&lt;=$G17,"COMPRAR YA","OK")))</f>
        <v/>
      </c>
    </row>
    <row r="18">
      <c r="A18" s="28" t="inlineStr">
        <is>
          <t>Azucar</t>
        </is>
      </c>
      <c r="B18" s="52">
        <f>IFERROR(IF($A18="","",INDEX(INSUMOS!$G$5:$G$84,MATCH($A18,INSUMOS!$B$5:$B$84,0))),"")</f>
        <v/>
      </c>
      <c r="C18" s="36" t="n"/>
      <c r="D18" s="36" t="n"/>
      <c r="E18" s="53">
        <f>IF($A18="","",SUMIFS(RECETAS!$J$5:$J$254,RECETAS!$C$5:$C$254,$A18))</f>
        <v/>
      </c>
      <c r="F18" s="53">
        <f>IF($A18="","",N($C18)+N($D18)-N($E18))</f>
        <v/>
      </c>
      <c r="G18" s="36" t="n">
        <v>0</v>
      </c>
      <c r="H18" s="27">
        <f>IF($A18="","",IF(AND(N($C18)=0,N($D18)=0),"SIN DATOS",IF($F18&lt;=$G18,"COMPRAR YA","OK")))</f>
        <v/>
      </c>
    </row>
    <row r="19">
      <c r="A19" s="28" t="inlineStr">
        <is>
          <t>Vodka / Aguardiente</t>
        </is>
      </c>
      <c r="B19" s="52">
        <f>IFERROR(IF($A19="","",INDEX(INSUMOS!$G$5:$G$84,MATCH($A19,INSUMOS!$B$5:$B$84,0))),"")</f>
        <v/>
      </c>
      <c r="C19" s="36" t="n"/>
      <c r="D19" s="36" t="n"/>
      <c r="E19" s="53">
        <f>IF($A19="","",SUMIFS(RECETAS!$J$5:$J$254,RECETAS!$C$5:$C$254,$A19))</f>
        <v/>
      </c>
      <c r="F19" s="53">
        <f>IF($A19="","",N($C19)+N($D19)-N($E19))</f>
        <v/>
      </c>
      <c r="G19" s="36" t="n">
        <v>0</v>
      </c>
      <c r="H19" s="27">
        <f>IF($A19="","",IF(AND(N($C19)=0,N($D19)=0),"SIN DATOS",IF($F19&lt;=$G19,"COMPRAR YA","OK")))</f>
        <v/>
      </c>
    </row>
    <row r="20">
      <c r="A20" s="28" t="inlineStr">
        <is>
          <t>Papa</t>
        </is>
      </c>
      <c r="B20" s="52">
        <f>IFERROR(IF($A20="","",INDEX(INSUMOS!$G$5:$G$84,MATCH($A20,INSUMOS!$B$5:$B$84,0))),"")</f>
        <v/>
      </c>
      <c r="C20" s="36" t="n"/>
      <c r="D20" s="36" t="n"/>
      <c r="E20" s="53">
        <f>IF($A20="","",SUMIFS(RECETAS!$J$5:$J$254,RECETAS!$C$5:$C$254,$A20))</f>
        <v/>
      </c>
      <c r="F20" s="53">
        <f>IF($A20="","",N($C20)+N($D20)-N($E20))</f>
        <v/>
      </c>
      <c r="G20" s="36" t="n">
        <v>0</v>
      </c>
      <c r="H20" s="27">
        <f>IF($A20="","",IF(AND(N($C20)=0,N($D20)=0),"SIN DATOS",IF($F20&lt;=$G20,"COMPRAR YA","OK")))</f>
        <v/>
      </c>
    </row>
    <row r="21">
      <c r="A21" s="28" t="inlineStr">
        <is>
          <t>Aceite de freir</t>
        </is>
      </c>
      <c r="B21" s="52">
        <f>IFERROR(IF($A21="","",INDEX(INSUMOS!$G$5:$G$84,MATCH($A21,INSUMOS!$B$5:$B$84,0))),"")</f>
        <v/>
      </c>
      <c r="C21" s="36" t="n"/>
      <c r="D21" s="36" t="n"/>
      <c r="E21" s="53">
        <f>IF($A21="","",SUMIFS(RECETAS!$J$5:$J$254,RECETAS!$C$5:$C$254,$A21))</f>
        <v/>
      </c>
      <c r="F21" s="53">
        <f>IF($A21="","",N($C21)+N($D21)-N($E21))</f>
        <v/>
      </c>
      <c r="G21" s="36" t="n">
        <v>0</v>
      </c>
      <c r="H21" s="27">
        <f>IF($A21="","",IF(AND(N($C21)=0,N($D21)=0),"SIN DATOS",IF($F21&lt;=$G21,"COMPRAR YA","OK")))</f>
        <v/>
      </c>
    </row>
    <row r="22">
      <c r="A22" s="28" t="inlineStr">
        <is>
          <t>Sal y condimentos</t>
        </is>
      </c>
      <c r="B22" s="52">
        <f>IFERROR(IF($A22="","",INDEX(INSUMOS!$G$5:$G$84,MATCH($A22,INSUMOS!$B$5:$B$84,0))),"")</f>
        <v/>
      </c>
      <c r="C22" s="36" t="n"/>
      <c r="D22" s="36" t="n"/>
      <c r="E22" s="53">
        <f>IF($A22="","",SUMIFS(RECETAS!$J$5:$J$254,RECETAS!$C$5:$C$254,$A22))</f>
        <v/>
      </c>
      <c r="F22" s="53">
        <f>IF($A22="","",N($C22)+N($D22)-N($E22))</f>
        <v/>
      </c>
      <c r="G22" s="36" t="n">
        <v>0</v>
      </c>
      <c r="H22" s="27">
        <f>IF($A22="","",IF(AND(N($C22)=0,N($D22)=0),"SIN DATOS",IF($F22&lt;=$G22,"COMPRAR YA","OK")))</f>
        <v/>
      </c>
    </row>
    <row r="23">
      <c r="A23" s="28" t="inlineStr">
        <is>
          <t>Salsa porcion (sachet)</t>
        </is>
      </c>
      <c r="B23" s="52">
        <f>IFERROR(IF($A23="","",INDEX(INSUMOS!$G$5:$G$84,MATCH($A23,INSUMOS!$B$5:$B$84,0))),"")</f>
        <v/>
      </c>
      <c r="C23" s="36" t="n"/>
      <c r="D23" s="36" t="n"/>
      <c r="E23" s="53">
        <f>IF($A23="","",SUMIFS(RECETAS!$J$5:$J$254,RECETAS!$C$5:$C$254,$A23))</f>
        <v/>
      </c>
      <c r="F23" s="53">
        <f>IF($A23="","",N($C23)+N($D23)-N($E23))</f>
        <v/>
      </c>
      <c r="G23" s="36" t="n">
        <v>0</v>
      </c>
      <c r="H23" s="27">
        <f>IF($A23="","",IF(AND(N($C23)=0,N($D23)=0),"SIN DATOS",IF($F23&lt;=$G23,"COMPRAR YA","OK")))</f>
        <v/>
      </c>
    </row>
    <row r="24">
      <c r="A24" s="28" t="inlineStr">
        <is>
          <t>Vaso 12 oz</t>
        </is>
      </c>
      <c r="B24" s="52">
        <f>IFERROR(IF($A24="","",INDEX(INSUMOS!$G$5:$G$84,MATCH($A24,INSUMOS!$B$5:$B$84,0))),"")</f>
        <v/>
      </c>
      <c r="C24" s="36" t="n"/>
      <c r="D24" s="36" t="n"/>
      <c r="E24" s="53">
        <f>IF($A24="","",SUMIFS(RECETAS!$J$5:$J$254,RECETAS!$C$5:$C$254,$A24))</f>
        <v/>
      </c>
      <c r="F24" s="53">
        <f>IF($A24="","",N($C24)+N($D24)-N($E24))</f>
        <v/>
      </c>
      <c r="G24" s="36" t="n">
        <v>0</v>
      </c>
      <c r="H24" s="27">
        <f>IF($A24="","",IF(AND(N($C24)=0,N($D24)=0),"SIN DATOS",IF($F24&lt;=$G24,"COMPRAR YA","OK")))</f>
        <v/>
      </c>
    </row>
    <row r="25">
      <c r="A25" s="28" t="inlineStr">
        <is>
          <t>Tapa domo 12 oz</t>
        </is>
      </c>
      <c r="B25" s="52">
        <f>IFERROR(IF($A25="","",INDEX(INSUMOS!$G$5:$G$84,MATCH($A25,INSUMOS!$B$5:$B$84,0))),"")</f>
        <v/>
      </c>
      <c r="C25" s="36" t="n"/>
      <c r="D25" s="36" t="n"/>
      <c r="E25" s="53">
        <f>IF($A25="","",SUMIFS(RECETAS!$J$5:$J$254,RECETAS!$C$5:$C$254,$A25))</f>
        <v/>
      </c>
      <c r="F25" s="53">
        <f>IF($A25="","",N($C25)+N($D25)-N($E25))</f>
        <v/>
      </c>
      <c r="G25" s="36" t="n">
        <v>0</v>
      </c>
      <c r="H25" s="27">
        <f>IF($A25="","",IF(AND(N($C25)=0,N($D25)=0),"SIN DATOS",IF($F25&lt;=$G25,"COMPRAR YA","OK")))</f>
        <v/>
      </c>
    </row>
    <row r="26">
      <c r="A26" s="28" t="inlineStr">
        <is>
          <t>Pitillo</t>
        </is>
      </c>
      <c r="B26" s="52">
        <f>IFERROR(IF($A26="","",INDEX(INSUMOS!$G$5:$G$84,MATCH($A26,INSUMOS!$B$5:$B$84,0))),"")</f>
        <v/>
      </c>
      <c r="C26" s="36" t="n"/>
      <c r="D26" s="36" t="n"/>
      <c r="E26" s="53">
        <f>IF($A26="","",SUMIFS(RECETAS!$J$5:$J$254,RECETAS!$C$5:$C$254,$A26))</f>
        <v/>
      </c>
      <c r="F26" s="53">
        <f>IF($A26="","",N($C26)+N($D26)-N($E26))</f>
        <v/>
      </c>
      <c r="G26" s="36" t="n">
        <v>0</v>
      </c>
      <c r="H26" s="27">
        <f>IF($A26="","",IF(AND(N($C26)=0,N($D26)=0),"SIN DATOS",IF($F26&lt;=$G26,"COMPRAR YA","OK")))</f>
        <v/>
      </c>
    </row>
    <row r="27">
      <c r="A27" s="28" t="inlineStr">
        <is>
          <t>Servilleta</t>
        </is>
      </c>
      <c r="B27" s="52">
        <f>IFERROR(IF($A27="","",INDEX(INSUMOS!$G$5:$G$84,MATCH($A27,INSUMOS!$B$5:$B$84,0))),"")</f>
        <v/>
      </c>
      <c r="C27" s="36" t="n"/>
      <c r="D27" s="36" t="n"/>
      <c r="E27" s="53">
        <f>IF($A27="","",SUMIFS(RECETAS!$J$5:$J$254,RECETAS!$C$5:$C$254,$A27))</f>
        <v/>
      </c>
      <c r="F27" s="53">
        <f>IF($A27="","",N($C27)+N($D27)-N($E27))</f>
        <v/>
      </c>
      <c r="G27" s="36" t="n">
        <v>0</v>
      </c>
      <c r="H27" s="27">
        <f>IF($A27="","",IF(AND(N($C27)=0,N($D27)=0),"SIN DATOS",IF($F27&lt;=$G27,"COMPRAR YA","OK")))</f>
        <v/>
      </c>
    </row>
    <row r="28">
      <c r="A28" s="28" t="inlineStr">
        <is>
          <t>Cono de papel</t>
        </is>
      </c>
      <c r="B28" s="52">
        <f>IFERROR(IF($A28="","",INDEX(INSUMOS!$G$5:$G$84,MATCH($A28,INSUMOS!$B$5:$B$84,0))),"")</f>
        <v/>
      </c>
      <c r="C28" s="36" t="n"/>
      <c r="D28" s="36" t="n"/>
      <c r="E28" s="53">
        <f>IF($A28="","",SUMIFS(RECETAS!$J$5:$J$254,RECETAS!$C$5:$C$254,$A28))</f>
        <v/>
      </c>
      <c r="F28" s="53">
        <f>IF($A28="","",N($C28)+N($D28)-N($E28))</f>
        <v/>
      </c>
      <c r="G28" s="36" t="n">
        <v>0</v>
      </c>
      <c r="H28" s="27">
        <f>IF($A28="","",IF(AND(N($C28)=0,N($D28)=0),"SIN DATOS",IF($F28&lt;=$G28,"COMPRAR YA","OK")))</f>
        <v/>
      </c>
    </row>
    <row r="29">
      <c r="A29" s="28" t="inlineStr">
        <is>
          <t>Funda de despacho</t>
        </is>
      </c>
      <c r="B29" s="52">
        <f>IFERROR(IF($A29="","",INDEX(INSUMOS!$G$5:$G$84,MATCH($A29,INSUMOS!$B$5:$B$84,0))),"")</f>
        <v/>
      </c>
      <c r="C29" s="36" t="n"/>
      <c r="D29" s="36" t="n"/>
      <c r="E29" s="53">
        <f>IF($A29="","",SUMIFS(RECETAS!$J$5:$J$254,RECETAS!$C$5:$C$254,$A29))</f>
        <v/>
      </c>
      <c r="F29" s="53">
        <f>IF($A29="","",N($C29)+N($D29)-N($E29))</f>
        <v/>
      </c>
      <c r="G29" s="36" t="n">
        <v>0</v>
      </c>
      <c r="H29" s="27">
        <f>IF($A29="","",IF(AND(N($C29)=0,N($D29)=0),"SIN DATOS",IF($F29&lt;=$G29,"COMPRAR YA","OK")))</f>
        <v/>
      </c>
    </row>
    <row r="30">
      <c r="A30" s="28" t="n"/>
      <c r="B30" s="52">
        <f>IFERROR(IF($A30="","",INDEX(INSUMOS!$G$5:$G$84,MATCH($A30,INSUMOS!$B$5:$B$84,0))),"")</f>
        <v/>
      </c>
      <c r="C30" s="36" t="n"/>
      <c r="D30" s="36" t="n"/>
      <c r="E30" s="53">
        <f>IF($A30="","",SUMIFS(RECETAS!$J$5:$J$254,RECETAS!$C$5:$C$254,$A30))</f>
        <v/>
      </c>
      <c r="F30" s="53">
        <f>IF($A30="","",N($C30)+N($D30)-N($E30))</f>
        <v/>
      </c>
      <c r="G30" s="36" t="n"/>
      <c r="H30" s="27">
        <f>IF($A30="","",IF(AND(N($C30)=0,N($D30)=0),"SIN DATOS",IF($F30&lt;=$G30,"COMPRAR YA","OK")))</f>
        <v/>
      </c>
    </row>
    <row r="31">
      <c r="A31" s="28" t="n"/>
      <c r="B31" s="52">
        <f>IFERROR(IF($A31="","",INDEX(INSUMOS!$G$5:$G$84,MATCH($A31,INSUMOS!$B$5:$B$84,0))),"")</f>
        <v/>
      </c>
      <c r="C31" s="36" t="n"/>
      <c r="D31" s="36" t="n"/>
      <c r="E31" s="53">
        <f>IF($A31="","",SUMIFS(RECETAS!$J$5:$J$254,RECETAS!$C$5:$C$254,$A31))</f>
        <v/>
      </c>
      <c r="F31" s="53">
        <f>IF($A31="","",N($C31)+N($D31)-N($E31))</f>
        <v/>
      </c>
      <c r="G31" s="36" t="n"/>
      <c r="H31" s="27">
        <f>IF($A31="","",IF(AND(N($C31)=0,N($D31)=0),"SIN DATOS",IF($F31&lt;=$G31,"COMPRAR YA","OK")))</f>
        <v/>
      </c>
    </row>
    <row r="32">
      <c r="A32" s="28" t="n"/>
      <c r="B32" s="52">
        <f>IFERROR(IF($A32="","",INDEX(INSUMOS!$G$5:$G$84,MATCH($A32,INSUMOS!$B$5:$B$84,0))),"")</f>
        <v/>
      </c>
      <c r="C32" s="36" t="n"/>
      <c r="D32" s="36" t="n"/>
      <c r="E32" s="53">
        <f>IF($A32="","",SUMIFS(RECETAS!$J$5:$J$254,RECETAS!$C$5:$C$254,$A32))</f>
        <v/>
      </c>
      <c r="F32" s="53">
        <f>IF($A32="","",N($C32)+N($D32)-N($E32))</f>
        <v/>
      </c>
      <c r="G32" s="36" t="n"/>
      <c r="H32" s="27">
        <f>IF($A32="","",IF(AND(N($C32)=0,N($D32)=0),"SIN DATOS",IF($F32&lt;=$G32,"COMPRAR YA","OK")))</f>
        <v/>
      </c>
    </row>
    <row r="33">
      <c r="A33" s="28" t="n"/>
      <c r="B33" s="52">
        <f>IFERROR(IF($A33="","",INDEX(INSUMOS!$G$5:$G$84,MATCH($A33,INSUMOS!$B$5:$B$84,0))),"")</f>
        <v/>
      </c>
      <c r="C33" s="36" t="n"/>
      <c r="D33" s="36" t="n"/>
      <c r="E33" s="53">
        <f>IF($A33="","",SUMIFS(RECETAS!$J$5:$J$254,RECETAS!$C$5:$C$254,$A33))</f>
        <v/>
      </c>
      <c r="F33" s="53">
        <f>IF($A33="","",N($C33)+N($D33)-N($E33))</f>
        <v/>
      </c>
      <c r="G33" s="36" t="n"/>
      <c r="H33" s="27">
        <f>IF($A33="","",IF(AND(N($C33)=0,N($D33)=0),"SIN DATOS",IF($F33&lt;=$G33,"COMPRAR YA","OK")))</f>
        <v/>
      </c>
    </row>
    <row r="34">
      <c r="A34" s="28" t="n"/>
      <c r="B34" s="52">
        <f>IFERROR(IF($A34="","",INDEX(INSUMOS!$G$5:$G$84,MATCH($A34,INSUMOS!$B$5:$B$84,0))),"")</f>
        <v/>
      </c>
      <c r="C34" s="36" t="n"/>
      <c r="D34" s="36" t="n"/>
      <c r="E34" s="53">
        <f>IF($A34="","",SUMIFS(RECETAS!$J$5:$J$254,RECETAS!$C$5:$C$254,$A34))</f>
        <v/>
      </c>
      <c r="F34" s="53">
        <f>IF($A34="","",N($C34)+N($D34)-N($E34))</f>
        <v/>
      </c>
      <c r="G34" s="36" t="n"/>
      <c r="H34" s="27">
        <f>IF($A34="","",IF(AND(N($C34)=0,N($D34)=0),"SIN DATOS",IF($F34&lt;=$G34,"COMPRAR YA","OK")))</f>
        <v/>
      </c>
    </row>
    <row r="35">
      <c r="A35" s="28" t="n"/>
      <c r="B35" s="52">
        <f>IFERROR(IF($A35="","",INDEX(INSUMOS!$G$5:$G$84,MATCH($A35,INSUMOS!$B$5:$B$84,0))),"")</f>
        <v/>
      </c>
      <c r="C35" s="36" t="n"/>
      <c r="D35" s="36" t="n"/>
      <c r="E35" s="53">
        <f>IF($A35="","",SUMIFS(RECETAS!$J$5:$J$254,RECETAS!$C$5:$C$254,$A35))</f>
        <v/>
      </c>
      <c r="F35" s="53">
        <f>IF($A35="","",N($C35)+N($D35)-N($E35))</f>
        <v/>
      </c>
      <c r="G35" s="36" t="n"/>
      <c r="H35" s="27">
        <f>IF($A35="","",IF(AND(N($C35)=0,N($D35)=0),"SIN DATOS",IF($F35&lt;=$G35,"COMPRAR YA","OK")))</f>
        <v/>
      </c>
    </row>
    <row r="36">
      <c r="A36" s="28" t="n"/>
      <c r="B36" s="52">
        <f>IFERROR(IF($A36="","",INDEX(INSUMOS!$G$5:$G$84,MATCH($A36,INSUMOS!$B$5:$B$84,0))),"")</f>
        <v/>
      </c>
      <c r="C36" s="36" t="n"/>
      <c r="D36" s="36" t="n"/>
      <c r="E36" s="53">
        <f>IF($A36="","",SUMIFS(RECETAS!$J$5:$J$254,RECETAS!$C$5:$C$254,$A36))</f>
        <v/>
      </c>
      <c r="F36" s="53">
        <f>IF($A36="","",N($C36)+N($D36)-N($E36))</f>
        <v/>
      </c>
      <c r="G36" s="36" t="n"/>
      <c r="H36" s="27">
        <f>IF($A36="","",IF(AND(N($C36)=0,N($D36)=0),"SIN DATOS",IF($F36&lt;=$G36,"COMPRAR YA","OK")))</f>
        <v/>
      </c>
    </row>
    <row r="37">
      <c r="A37" s="28" t="n"/>
      <c r="B37" s="52">
        <f>IFERROR(IF($A37="","",INDEX(INSUMOS!$G$5:$G$84,MATCH($A37,INSUMOS!$B$5:$B$84,0))),"")</f>
        <v/>
      </c>
      <c r="C37" s="36" t="n"/>
      <c r="D37" s="36" t="n"/>
      <c r="E37" s="53">
        <f>IF($A37="","",SUMIFS(RECETAS!$J$5:$J$254,RECETAS!$C$5:$C$254,$A37))</f>
        <v/>
      </c>
      <c r="F37" s="53">
        <f>IF($A37="","",N($C37)+N($D37)-N($E37))</f>
        <v/>
      </c>
      <c r="G37" s="36" t="n"/>
      <c r="H37" s="27">
        <f>IF($A37="","",IF(AND(N($C37)=0,N($D37)=0),"SIN DATOS",IF($F37&lt;=$G37,"COMPRAR YA","OK")))</f>
        <v/>
      </c>
    </row>
    <row r="38">
      <c r="A38" s="28" t="n"/>
      <c r="B38" s="52">
        <f>IFERROR(IF($A38="","",INDEX(INSUMOS!$G$5:$G$84,MATCH($A38,INSUMOS!$B$5:$B$84,0))),"")</f>
        <v/>
      </c>
      <c r="C38" s="36" t="n"/>
      <c r="D38" s="36" t="n"/>
      <c r="E38" s="53">
        <f>IF($A38="","",SUMIFS(RECETAS!$J$5:$J$254,RECETAS!$C$5:$C$254,$A38))</f>
        <v/>
      </c>
      <c r="F38" s="53">
        <f>IF($A38="","",N($C38)+N($D38)-N($E38))</f>
        <v/>
      </c>
      <c r="G38" s="36" t="n"/>
      <c r="H38" s="27">
        <f>IF($A38="","",IF(AND(N($C38)=0,N($D38)=0),"SIN DATOS",IF($F38&lt;=$G38,"COMPRAR YA","OK")))</f>
        <v/>
      </c>
    </row>
    <row r="39">
      <c r="A39" s="28" t="n"/>
      <c r="B39" s="52">
        <f>IFERROR(IF($A39="","",INDEX(INSUMOS!$G$5:$G$84,MATCH($A39,INSUMOS!$B$5:$B$84,0))),"")</f>
        <v/>
      </c>
      <c r="C39" s="36" t="n"/>
      <c r="D39" s="36" t="n"/>
      <c r="E39" s="53">
        <f>IF($A39="","",SUMIFS(RECETAS!$J$5:$J$254,RECETAS!$C$5:$C$254,$A39))</f>
        <v/>
      </c>
      <c r="F39" s="53">
        <f>IF($A39="","",N($C39)+N($D39)-N($E39))</f>
        <v/>
      </c>
      <c r="G39" s="36" t="n"/>
      <c r="H39" s="27">
        <f>IF($A39="","",IF(AND(N($C39)=0,N($D39)=0),"SIN DATOS",IF($F39&lt;=$G39,"COMPRAR YA","OK")))</f>
        <v/>
      </c>
    </row>
    <row r="40">
      <c r="A40" s="28" t="n"/>
      <c r="B40" s="52">
        <f>IFERROR(IF($A40="","",INDEX(INSUMOS!$G$5:$G$84,MATCH($A40,INSUMOS!$B$5:$B$84,0))),"")</f>
        <v/>
      </c>
      <c r="C40" s="36" t="n"/>
      <c r="D40" s="36" t="n"/>
      <c r="E40" s="53">
        <f>IF($A40="","",SUMIFS(RECETAS!$J$5:$J$254,RECETAS!$C$5:$C$254,$A40))</f>
        <v/>
      </c>
      <c r="F40" s="53">
        <f>IF($A40="","",N($C40)+N($D40)-N($E40))</f>
        <v/>
      </c>
      <c r="G40" s="36" t="n"/>
      <c r="H40" s="27">
        <f>IF($A40="","",IF(AND(N($C40)=0,N($D40)=0),"SIN DATOS",IF($F40&lt;=$G40,"COMPRAR YA","OK")))</f>
        <v/>
      </c>
    </row>
    <row r="41">
      <c r="A41" s="28" t="n"/>
      <c r="B41" s="52">
        <f>IFERROR(IF($A41="","",INDEX(INSUMOS!$G$5:$G$84,MATCH($A41,INSUMOS!$B$5:$B$84,0))),"")</f>
        <v/>
      </c>
      <c r="C41" s="36" t="n"/>
      <c r="D41" s="36" t="n"/>
      <c r="E41" s="53">
        <f>IF($A41="","",SUMIFS(RECETAS!$J$5:$J$254,RECETAS!$C$5:$C$254,$A41))</f>
        <v/>
      </c>
      <c r="F41" s="53">
        <f>IF($A41="","",N($C41)+N($D41)-N($E41))</f>
        <v/>
      </c>
      <c r="G41" s="36" t="n"/>
      <c r="H41" s="27">
        <f>IF($A41="","",IF(AND(N($C41)=0,N($D41)=0),"SIN DATOS",IF($F41&lt;=$G41,"COMPRAR YA","OK")))</f>
        <v/>
      </c>
    </row>
    <row r="42">
      <c r="A42" s="28" t="n"/>
      <c r="B42" s="52">
        <f>IFERROR(IF($A42="","",INDEX(INSUMOS!$G$5:$G$84,MATCH($A42,INSUMOS!$B$5:$B$84,0))),"")</f>
        <v/>
      </c>
      <c r="C42" s="36" t="n"/>
      <c r="D42" s="36" t="n"/>
      <c r="E42" s="53">
        <f>IF($A42="","",SUMIFS(RECETAS!$J$5:$J$254,RECETAS!$C$5:$C$254,$A42))</f>
        <v/>
      </c>
      <c r="F42" s="53">
        <f>IF($A42="","",N($C42)+N($D42)-N($E42))</f>
        <v/>
      </c>
      <c r="G42" s="36" t="n"/>
      <c r="H42" s="27">
        <f>IF($A42="","",IF(AND(N($C42)=0,N($D42)=0),"SIN DATOS",IF($F42&lt;=$G42,"COMPRAR YA","OK")))</f>
        <v/>
      </c>
    </row>
    <row r="43">
      <c r="A43" s="28" t="n"/>
      <c r="B43" s="52">
        <f>IFERROR(IF($A43="","",INDEX(INSUMOS!$G$5:$G$84,MATCH($A43,INSUMOS!$B$5:$B$84,0))),"")</f>
        <v/>
      </c>
      <c r="C43" s="36" t="n"/>
      <c r="D43" s="36" t="n"/>
      <c r="E43" s="53">
        <f>IF($A43="","",SUMIFS(RECETAS!$J$5:$J$254,RECETAS!$C$5:$C$254,$A43))</f>
        <v/>
      </c>
      <c r="F43" s="53">
        <f>IF($A43="","",N($C43)+N($D43)-N($E43))</f>
        <v/>
      </c>
      <c r="G43" s="36" t="n"/>
      <c r="H43" s="27">
        <f>IF($A43="","",IF(AND(N($C43)=0,N($D43)=0),"SIN DATOS",IF($F43&lt;=$G43,"COMPRAR YA","OK")))</f>
        <v/>
      </c>
    </row>
    <row r="44">
      <c r="A44" s="28" t="n"/>
      <c r="B44" s="52">
        <f>IFERROR(IF($A44="","",INDEX(INSUMOS!$G$5:$G$84,MATCH($A44,INSUMOS!$B$5:$B$84,0))),"")</f>
        <v/>
      </c>
      <c r="C44" s="36" t="n"/>
      <c r="D44" s="36" t="n"/>
      <c r="E44" s="53">
        <f>IF($A44="","",SUMIFS(RECETAS!$J$5:$J$254,RECETAS!$C$5:$C$254,$A44))</f>
        <v/>
      </c>
      <c r="F44" s="53">
        <f>IF($A44="","",N($C44)+N($D44)-N($E44))</f>
        <v/>
      </c>
      <c r="G44" s="36" t="n"/>
      <c r="H44" s="27">
        <f>IF($A44="","",IF(AND(N($C44)=0,N($D44)=0),"SIN DATOS",IF($F44&lt;=$G44,"COMPRAR YA","OK")))</f>
        <v/>
      </c>
    </row>
    <row r="45">
      <c r="A45" s="28" t="n"/>
      <c r="B45" s="52">
        <f>IFERROR(IF($A45="","",INDEX(INSUMOS!$G$5:$G$84,MATCH($A45,INSUMOS!$B$5:$B$84,0))),"")</f>
        <v/>
      </c>
      <c r="C45" s="36" t="n"/>
      <c r="D45" s="36" t="n"/>
      <c r="E45" s="53">
        <f>IF($A45="","",SUMIFS(RECETAS!$J$5:$J$254,RECETAS!$C$5:$C$254,$A45))</f>
        <v/>
      </c>
      <c r="F45" s="53">
        <f>IF($A45="","",N($C45)+N($D45)-N($E45))</f>
        <v/>
      </c>
      <c r="G45" s="36" t="n"/>
      <c r="H45" s="27">
        <f>IF($A45="","",IF(AND(N($C45)=0,N($D45)=0),"SIN DATOS",IF($F45&lt;=$G45,"COMPRAR YA","OK")))</f>
        <v/>
      </c>
    </row>
    <row r="46">
      <c r="A46" s="28" t="n"/>
      <c r="B46" s="52">
        <f>IFERROR(IF($A46="","",INDEX(INSUMOS!$G$5:$G$84,MATCH($A46,INSUMOS!$B$5:$B$84,0))),"")</f>
        <v/>
      </c>
      <c r="C46" s="36" t="n"/>
      <c r="D46" s="36" t="n"/>
      <c r="E46" s="53">
        <f>IF($A46="","",SUMIFS(RECETAS!$J$5:$J$254,RECETAS!$C$5:$C$254,$A46))</f>
        <v/>
      </c>
      <c r="F46" s="53">
        <f>IF($A46="","",N($C46)+N($D46)-N($E46))</f>
        <v/>
      </c>
      <c r="G46" s="36" t="n"/>
      <c r="H46" s="27">
        <f>IF($A46="","",IF(AND(N($C46)=0,N($D46)=0),"SIN DATOS",IF($F46&lt;=$G46,"COMPRAR YA","OK")))</f>
        <v/>
      </c>
    </row>
    <row r="47">
      <c r="A47" s="28" t="n"/>
      <c r="B47" s="52">
        <f>IFERROR(IF($A47="","",INDEX(INSUMOS!$G$5:$G$84,MATCH($A47,INSUMOS!$B$5:$B$84,0))),"")</f>
        <v/>
      </c>
      <c r="C47" s="36" t="n"/>
      <c r="D47" s="36" t="n"/>
      <c r="E47" s="53">
        <f>IF($A47="","",SUMIFS(RECETAS!$J$5:$J$254,RECETAS!$C$5:$C$254,$A47))</f>
        <v/>
      </c>
      <c r="F47" s="53">
        <f>IF($A47="","",N($C47)+N($D47)-N($E47))</f>
        <v/>
      </c>
      <c r="G47" s="36" t="n"/>
      <c r="H47" s="27">
        <f>IF($A47="","",IF(AND(N($C47)=0,N($D47)=0),"SIN DATOS",IF($F47&lt;=$G47,"COMPRAR YA","OK")))</f>
        <v/>
      </c>
    </row>
    <row r="48">
      <c r="A48" s="28" t="n"/>
      <c r="B48" s="52">
        <f>IFERROR(IF($A48="","",INDEX(INSUMOS!$G$5:$G$84,MATCH($A48,INSUMOS!$B$5:$B$84,0))),"")</f>
        <v/>
      </c>
      <c r="C48" s="36" t="n"/>
      <c r="D48" s="36" t="n"/>
      <c r="E48" s="53">
        <f>IF($A48="","",SUMIFS(RECETAS!$J$5:$J$254,RECETAS!$C$5:$C$254,$A48))</f>
        <v/>
      </c>
      <c r="F48" s="53">
        <f>IF($A48="","",N($C48)+N($D48)-N($E48))</f>
        <v/>
      </c>
      <c r="G48" s="36" t="n"/>
      <c r="H48" s="27">
        <f>IF($A48="","",IF(AND(N($C48)=0,N($D48)=0),"SIN DATOS",IF($F48&lt;=$G48,"COMPRAR YA","OK")))</f>
        <v/>
      </c>
    </row>
    <row r="49">
      <c r="A49" s="28" t="n"/>
      <c r="B49" s="52">
        <f>IFERROR(IF($A49="","",INDEX(INSUMOS!$G$5:$G$84,MATCH($A49,INSUMOS!$B$5:$B$84,0))),"")</f>
        <v/>
      </c>
      <c r="C49" s="36" t="n"/>
      <c r="D49" s="36" t="n"/>
      <c r="E49" s="53">
        <f>IF($A49="","",SUMIFS(RECETAS!$J$5:$J$254,RECETAS!$C$5:$C$254,$A49))</f>
        <v/>
      </c>
      <c r="F49" s="53">
        <f>IF($A49="","",N($C49)+N($D49)-N($E49))</f>
        <v/>
      </c>
      <c r="G49" s="36" t="n"/>
      <c r="H49" s="27">
        <f>IF($A49="","",IF(AND(N($C49)=0,N($D49)=0),"SIN DATOS",IF($F49&lt;=$G49,"COMPRAR YA","OK")))</f>
        <v/>
      </c>
    </row>
    <row r="50">
      <c r="A50" s="28" t="n"/>
      <c r="B50" s="52">
        <f>IFERROR(IF($A50="","",INDEX(INSUMOS!$G$5:$G$84,MATCH($A50,INSUMOS!$B$5:$B$84,0))),"")</f>
        <v/>
      </c>
      <c r="C50" s="36" t="n"/>
      <c r="D50" s="36" t="n"/>
      <c r="E50" s="53">
        <f>IF($A50="","",SUMIFS(RECETAS!$J$5:$J$254,RECETAS!$C$5:$C$254,$A50))</f>
        <v/>
      </c>
      <c r="F50" s="53">
        <f>IF($A50="","",N($C50)+N($D50)-N($E50))</f>
        <v/>
      </c>
      <c r="G50" s="36" t="n"/>
      <c r="H50" s="27">
        <f>IF($A50="","",IF(AND(N($C50)=0,N($D50)=0),"SIN DATOS",IF($F50&lt;=$G50,"COMPRAR YA","OK")))</f>
        <v/>
      </c>
    </row>
    <row r="51">
      <c r="A51" s="28" t="n"/>
      <c r="B51" s="52">
        <f>IFERROR(IF($A51="","",INDEX(INSUMOS!$G$5:$G$84,MATCH($A51,INSUMOS!$B$5:$B$84,0))),"")</f>
        <v/>
      </c>
      <c r="C51" s="36" t="n"/>
      <c r="D51" s="36" t="n"/>
      <c r="E51" s="53">
        <f>IF($A51="","",SUMIFS(RECETAS!$J$5:$J$254,RECETAS!$C$5:$C$254,$A51))</f>
        <v/>
      </c>
      <c r="F51" s="53">
        <f>IF($A51="","",N($C51)+N($D51)-N($E51))</f>
        <v/>
      </c>
      <c r="G51" s="36" t="n"/>
      <c r="H51" s="27">
        <f>IF($A51="","",IF(AND(N($C51)=0,N($D51)=0),"SIN DATOS",IF($F51&lt;=$G51,"COMPRAR YA","OK")))</f>
        <v/>
      </c>
    </row>
    <row r="52">
      <c r="A52" s="28" t="n"/>
      <c r="B52" s="52">
        <f>IFERROR(IF($A52="","",INDEX(INSUMOS!$G$5:$G$84,MATCH($A52,INSUMOS!$B$5:$B$84,0))),"")</f>
        <v/>
      </c>
      <c r="C52" s="36" t="n"/>
      <c r="D52" s="36" t="n"/>
      <c r="E52" s="53">
        <f>IF($A52="","",SUMIFS(RECETAS!$J$5:$J$254,RECETAS!$C$5:$C$254,$A52))</f>
        <v/>
      </c>
      <c r="F52" s="53">
        <f>IF($A52="","",N($C52)+N($D52)-N($E52))</f>
        <v/>
      </c>
      <c r="G52" s="36" t="n"/>
      <c r="H52" s="27">
        <f>IF($A52="","",IF(AND(N($C52)=0,N($D52)=0),"SIN DATOS",IF($F52&lt;=$G52,"COMPRAR YA","OK")))</f>
        <v/>
      </c>
    </row>
    <row r="53">
      <c r="A53" s="28" t="n"/>
      <c r="B53" s="52">
        <f>IFERROR(IF($A53="","",INDEX(INSUMOS!$G$5:$G$84,MATCH($A53,INSUMOS!$B$5:$B$84,0))),"")</f>
        <v/>
      </c>
      <c r="C53" s="36" t="n"/>
      <c r="D53" s="36" t="n"/>
      <c r="E53" s="53">
        <f>IF($A53="","",SUMIFS(RECETAS!$J$5:$J$254,RECETAS!$C$5:$C$254,$A53))</f>
        <v/>
      </c>
      <c r="F53" s="53">
        <f>IF($A53="","",N($C53)+N($D53)-N($E53))</f>
        <v/>
      </c>
      <c r="G53" s="36" t="n"/>
      <c r="H53" s="27">
        <f>IF($A53="","",IF(AND(N($C53)=0,N($D53)=0),"SIN DATOS",IF($F53&lt;=$G53,"COMPRAR YA","OK")))</f>
        <v/>
      </c>
    </row>
    <row r="54">
      <c r="A54" s="28" t="n"/>
      <c r="B54" s="52">
        <f>IFERROR(IF($A54="","",INDEX(INSUMOS!$G$5:$G$84,MATCH($A54,INSUMOS!$B$5:$B$84,0))),"")</f>
        <v/>
      </c>
      <c r="C54" s="36" t="n"/>
      <c r="D54" s="36" t="n"/>
      <c r="E54" s="53">
        <f>IF($A54="","",SUMIFS(RECETAS!$J$5:$J$254,RECETAS!$C$5:$C$254,$A54))</f>
        <v/>
      </c>
      <c r="F54" s="53">
        <f>IF($A54="","",N($C54)+N($D54)-N($E54))</f>
        <v/>
      </c>
      <c r="G54" s="36" t="n"/>
      <c r="H54" s="27">
        <f>IF($A54="","",IF(AND(N($C54)=0,N($D54)=0),"SIN DATOS",IF($F54&lt;=$G54,"COMPRAR YA","OK")))</f>
        <v/>
      </c>
    </row>
    <row r="55">
      <c r="A55" s="28" t="n"/>
      <c r="B55" s="52">
        <f>IFERROR(IF($A55="","",INDEX(INSUMOS!$G$5:$G$84,MATCH($A55,INSUMOS!$B$5:$B$84,0))),"")</f>
        <v/>
      </c>
      <c r="C55" s="36" t="n"/>
      <c r="D55" s="36" t="n"/>
      <c r="E55" s="53">
        <f>IF($A55="","",SUMIFS(RECETAS!$J$5:$J$254,RECETAS!$C$5:$C$254,$A55))</f>
        <v/>
      </c>
      <c r="F55" s="53">
        <f>IF($A55="","",N($C55)+N($D55)-N($E55))</f>
        <v/>
      </c>
      <c r="G55" s="36" t="n"/>
      <c r="H55" s="27">
        <f>IF($A55="","",IF(AND(N($C55)=0,N($D55)=0),"SIN DATOS",IF($F55&lt;=$G55,"COMPRAR YA","OK")))</f>
        <v/>
      </c>
    </row>
    <row r="56">
      <c r="A56" s="28" t="n"/>
      <c r="B56" s="52">
        <f>IFERROR(IF($A56="","",INDEX(INSUMOS!$G$5:$G$84,MATCH($A56,INSUMOS!$B$5:$B$84,0))),"")</f>
        <v/>
      </c>
      <c r="C56" s="36" t="n"/>
      <c r="D56" s="36" t="n"/>
      <c r="E56" s="53">
        <f>IF($A56="","",SUMIFS(RECETAS!$J$5:$J$254,RECETAS!$C$5:$C$254,$A56))</f>
        <v/>
      </c>
      <c r="F56" s="53">
        <f>IF($A56="","",N($C56)+N($D56)-N($E56))</f>
        <v/>
      </c>
      <c r="G56" s="36" t="n"/>
      <c r="H56" s="27">
        <f>IF($A56="","",IF(AND(N($C56)=0,N($D56)=0),"SIN DATOS",IF($F56&lt;=$G56,"COMPRAR YA","OK")))</f>
        <v/>
      </c>
    </row>
    <row r="57">
      <c r="A57" s="28" t="n"/>
      <c r="B57" s="52">
        <f>IFERROR(IF($A57="","",INDEX(INSUMOS!$G$5:$G$84,MATCH($A57,INSUMOS!$B$5:$B$84,0))),"")</f>
        <v/>
      </c>
      <c r="C57" s="36" t="n"/>
      <c r="D57" s="36" t="n"/>
      <c r="E57" s="53">
        <f>IF($A57="","",SUMIFS(RECETAS!$J$5:$J$254,RECETAS!$C$5:$C$254,$A57))</f>
        <v/>
      </c>
      <c r="F57" s="53">
        <f>IF($A57="","",N($C57)+N($D57)-N($E57))</f>
        <v/>
      </c>
      <c r="G57" s="36" t="n"/>
      <c r="H57" s="27">
        <f>IF($A57="","",IF(AND(N($C57)=0,N($D57)=0),"SIN DATOS",IF($F57&lt;=$G57,"COMPRAR YA","OK")))</f>
        <v/>
      </c>
    </row>
    <row r="58">
      <c r="A58" s="28" t="n"/>
      <c r="B58" s="52">
        <f>IFERROR(IF($A58="","",INDEX(INSUMOS!$G$5:$G$84,MATCH($A58,INSUMOS!$B$5:$B$84,0))),"")</f>
        <v/>
      </c>
      <c r="C58" s="36" t="n"/>
      <c r="D58" s="36" t="n"/>
      <c r="E58" s="53">
        <f>IF($A58="","",SUMIFS(RECETAS!$J$5:$J$254,RECETAS!$C$5:$C$254,$A58))</f>
        <v/>
      </c>
      <c r="F58" s="53">
        <f>IF($A58="","",N($C58)+N($D58)-N($E58))</f>
        <v/>
      </c>
      <c r="G58" s="36" t="n"/>
      <c r="H58" s="27">
        <f>IF($A58="","",IF(AND(N($C58)=0,N($D58)=0),"SIN DATOS",IF($F58&lt;=$G58,"COMPRAR YA","OK")))</f>
        <v/>
      </c>
    </row>
    <row r="59">
      <c r="A59" s="28" t="n"/>
      <c r="B59" s="52">
        <f>IFERROR(IF($A59="","",INDEX(INSUMOS!$G$5:$G$84,MATCH($A59,INSUMOS!$B$5:$B$84,0))),"")</f>
        <v/>
      </c>
      <c r="C59" s="36" t="n"/>
      <c r="D59" s="36" t="n"/>
      <c r="E59" s="53">
        <f>IF($A59="","",SUMIFS(RECETAS!$J$5:$J$254,RECETAS!$C$5:$C$254,$A59))</f>
        <v/>
      </c>
      <c r="F59" s="53">
        <f>IF($A59="","",N($C59)+N($D59)-N($E59))</f>
        <v/>
      </c>
      <c r="G59" s="36" t="n"/>
      <c r="H59" s="27">
        <f>IF($A59="","",IF(AND(N($C59)=0,N($D59)=0),"SIN DATOS",IF($F59&lt;=$G59,"COMPRAR YA","OK")))</f>
        <v/>
      </c>
    </row>
    <row r="60">
      <c r="A60" s="28" t="n"/>
      <c r="B60" s="52">
        <f>IFERROR(IF($A60="","",INDEX(INSUMOS!$G$5:$G$84,MATCH($A60,INSUMOS!$B$5:$B$84,0))),"")</f>
        <v/>
      </c>
      <c r="C60" s="36" t="n"/>
      <c r="D60" s="36" t="n"/>
      <c r="E60" s="53">
        <f>IF($A60="","",SUMIFS(RECETAS!$J$5:$J$254,RECETAS!$C$5:$C$254,$A60))</f>
        <v/>
      </c>
      <c r="F60" s="53">
        <f>IF($A60="","",N($C60)+N($D60)-N($E60))</f>
        <v/>
      </c>
      <c r="G60" s="36" t="n"/>
      <c r="H60" s="27">
        <f>IF($A60="","",IF(AND(N($C60)=0,N($D60)=0),"SIN DATOS",IF($F60&lt;=$G60,"COMPRAR YA","OK")))</f>
        <v/>
      </c>
    </row>
    <row r="61">
      <c r="A61" s="28" t="n"/>
      <c r="B61" s="52">
        <f>IFERROR(IF($A61="","",INDEX(INSUMOS!$G$5:$G$84,MATCH($A61,INSUMOS!$B$5:$B$84,0))),"")</f>
        <v/>
      </c>
      <c r="C61" s="36" t="n"/>
      <c r="D61" s="36" t="n"/>
      <c r="E61" s="53">
        <f>IF($A61="","",SUMIFS(RECETAS!$J$5:$J$254,RECETAS!$C$5:$C$254,$A61))</f>
        <v/>
      </c>
      <c r="F61" s="53">
        <f>IF($A61="","",N($C61)+N($D61)-N($E61))</f>
        <v/>
      </c>
      <c r="G61" s="36" t="n"/>
      <c r="H61" s="27">
        <f>IF($A61="","",IF(AND(N($C61)=0,N($D61)=0),"SIN DATOS",IF($F61&lt;=$G61,"COMPRAR YA","OK")))</f>
        <v/>
      </c>
    </row>
    <row r="62">
      <c r="A62" s="28" t="n"/>
      <c r="B62" s="52">
        <f>IFERROR(IF($A62="","",INDEX(INSUMOS!$G$5:$G$84,MATCH($A62,INSUMOS!$B$5:$B$84,0))),"")</f>
        <v/>
      </c>
      <c r="C62" s="36" t="n"/>
      <c r="D62" s="36" t="n"/>
      <c r="E62" s="53">
        <f>IF($A62="","",SUMIFS(RECETAS!$J$5:$J$254,RECETAS!$C$5:$C$254,$A62))</f>
        <v/>
      </c>
      <c r="F62" s="53">
        <f>IF($A62="","",N($C62)+N($D62)-N($E62))</f>
        <v/>
      </c>
      <c r="G62" s="36" t="n"/>
      <c r="H62" s="27">
        <f>IF($A62="","",IF(AND(N($C62)=0,N($D62)=0),"SIN DATOS",IF($F62&lt;=$G62,"COMPRAR YA","OK")))</f>
        <v/>
      </c>
    </row>
    <row r="63">
      <c r="A63" s="28" t="n"/>
      <c r="B63" s="52">
        <f>IFERROR(IF($A63="","",INDEX(INSUMOS!$G$5:$G$84,MATCH($A63,INSUMOS!$B$5:$B$84,0))),"")</f>
        <v/>
      </c>
      <c r="C63" s="36" t="n"/>
      <c r="D63" s="36" t="n"/>
      <c r="E63" s="53">
        <f>IF($A63="","",SUMIFS(RECETAS!$J$5:$J$254,RECETAS!$C$5:$C$254,$A63))</f>
        <v/>
      </c>
      <c r="F63" s="53">
        <f>IF($A63="","",N($C63)+N($D63)-N($E63))</f>
        <v/>
      </c>
      <c r="G63" s="36" t="n"/>
      <c r="H63" s="27">
        <f>IF($A63="","",IF(AND(N($C63)=0,N($D63)=0),"SIN DATOS",IF($F63&lt;=$G63,"COMPRAR YA","OK")))</f>
        <v/>
      </c>
    </row>
    <row r="64">
      <c r="A64" s="28" t="n"/>
      <c r="B64" s="52">
        <f>IFERROR(IF($A64="","",INDEX(INSUMOS!$G$5:$G$84,MATCH($A64,INSUMOS!$B$5:$B$84,0))),"")</f>
        <v/>
      </c>
      <c r="C64" s="36" t="n"/>
      <c r="D64" s="36" t="n"/>
      <c r="E64" s="53">
        <f>IF($A64="","",SUMIFS(RECETAS!$J$5:$J$254,RECETAS!$C$5:$C$254,$A64))</f>
        <v/>
      </c>
      <c r="F64" s="53">
        <f>IF($A64="","",N($C64)+N($D64)-N($E64))</f>
        <v/>
      </c>
      <c r="G64" s="36" t="n"/>
      <c r="H64" s="27">
        <f>IF($A64="","",IF(AND(N($C64)=0,N($D64)=0),"SIN DATOS",IF($F64&lt;=$G64,"COMPRAR YA","OK")))</f>
        <v/>
      </c>
    </row>
    <row r="65">
      <c r="A65" s="28" t="n"/>
      <c r="B65" s="52">
        <f>IFERROR(IF($A65="","",INDEX(INSUMOS!$G$5:$G$84,MATCH($A65,INSUMOS!$B$5:$B$84,0))),"")</f>
        <v/>
      </c>
      <c r="C65" s="36" t="n"/>
      <c r="D65" s="36" t="n"/>
      <c r="E65" s="53">
        <f>IF($A65="","",SUMIFS(RECETAS!$J$5:$J$254,RECETAS!$C$5:$C$254,$A65))</f>
        <v/>
      </c>
      <c r="F65" s="53">
        <f>IF($A65="","",N($C65)+N($D65)-N($E65))</f>
        <v/>
      </c>
      <c r="G65" s="36" t="n"/>
      <c r="H65" s="27">
        <f>IF($A65="","",IF(AND(N($C65)=0,N($D65)=0),"SIN DATOS",IF($F65&lt;=$G65,"COMPRAR YA","OK")))</f>
        <v/>
      </c>
    </row>
    <row r="66">
      <c r="A66" s="28" t="n"/>
      <c r="B66" s="52">
        <f>IFERROR(IF($A66="","",INDEX(INSUMOS!$G$5:$G$84,MATCH($A66,INSUMOS!$B$5:$B$84,0))),"")</f>
        <v/>
      </c>
      <c r="C66" s="36" t="n"/>
      <c r="D66" s="36" t="n"/>
      <c r="E66" s="53">
        <f>IF($A66="","",SUMIFS(RECETAS!$J$5:$J$254,RECETAS!$C$5:$C$254,$A66))</f>
        <v/>
      </c>
      <c r="F66" s="53">
        <f>IF($A66="","",N($C66)+N($D66)-N($E66))</f>
        <v/>
      </c>
      <c r="G66" s="36" t="n"/>
      <c r="H66" s="27">
        <f>IF($A66="","",IF(AND(N($C66)=0,N($D66)=0),"SIN DATOS",IF($F66&lt;=$G66,"COMPRAR YA","OK")))</f>
        <v/>
      </c>
    </row>
    <row r="67">
      <c r="A67" s="28" t="n"/>
      <c r="B67" s="52">
        <f>IFERROR(IF($A67="","",INDEX(INSUMOS!$G$5:$G$84,MATCH($A67,INSUMOS!$B$5:$B$84,0))),"")</f>
        <v/>
      </c>
      <c r="C67" s="36" t="n"/>
      <c r="D67" s="36" t="n"/>
      <c r="E67" s="53">
        <f>IF($A67="","",SUMIFS(RECETAS!$J$5:$J$254,RECETAS!$C$5:$C$254,$A67))</f>
        <v/>
      </c>
      <c r="F67" s="53">
        <f>IF($A67="","",N($C67)+N($D67)-N($E67))</f>
        <v/>
      </c>
      <c r="G67" s="36" t="n"/>
      <c r="H67" s="27">
        <f>IF($A67="","",IF(AND(N($C67)=0,N($D67)=0),"SIN DATOS",IF($F67&lt;=$G67,"COMPRAR YA","OK")))</f>
        <v/>
      </c>
    </row>
    <row r="68">
      <c r="A68" s="28" t="n"/>
      <c r="B68" s="52">
        <f>IFERROR(IF($A68="","",INDEX(INSUMOS!$G$5:$G$84,MATCH($A68,INSUMOS!$B$5:$B$84,0))),"")</f>
        <v/>
      </c>
      <c r="C68" s="36" t="n"/>
      <c r="D68" s="36" t="n"/>
      <c r="E68" s="53">
        <f>IF($A68="","",SUMIFS(RECETAS!$J$5:$J$254,RECETAS!$C$5:$C$254,$A68))</f>
        <v/>
      </c>
      <c r="F68" s="53">
        <f>IF($A68="","",N($C68)+N($D68)-N($E68))</f>
        <v/>
      </c>
      <c r="G68" s="36" t="n"/>
      <c r="H68" s="27">
        <f>IF($A68="","",IF(AND(N($C68)=0,N($D68)=0),"SIN DATOS",IF($F68&lt;=$G68,"COMPRAR YA","OK")))</f>
        <v/>
      </c>
    </row>
    <row r="69">
      <c r="A69" s="28" t="n"/>
      <c r="B69" s="52">
        <f>IFERROR(IF($A69="","",INDEX(INSUMOS!$G$5:$G$84,MATCH($A69,INSUMOS!$B$5:$B$84,0))),"")</f>
        <v/>
      </c>
      <c r="C69" s="36" t="n"/>
      <c r="D69" s="36" t="n"/>
      <c r="E69" s="53">
        <f>IF($A69="","",SUMIFS(RECETAS!$J$5:$J$254,RECETAS!$C$5:$C$254,$A69))</f>
        <v/>
      </c>
      <c r="F69" s="53">
        <f>IF($A69="","",N($C69)+N($D69)-N($E69))</f>
        <v/>
      </c>
      <c r="G69" s="36" t="n"/>
      <c r="H69" s="27">
        <f>IF($A69="","",IF(AND(N($C69)=0,N($D69)=0),"SIN DATOS",IF($F69&lt;=$G69,"COMPRAR YA","OK")))</f>
        <v/>
      </c>
    </row>
    <row r="70">
      <c r="A70" s="28" t="n"/>
      <c r="B70" s="52">
        <f>IFERROR(IF($A70="","",INDEX(INSUMOS!$G$5:$G$84,MATCH($A70,INSUMOS!$B$5:$B$84,0))),"")</f>
        <v/>
      </c>
      <c r="C70" s="36" t="n"/>
      <c r="D70" s="36" t="n"/>
      <c r="E70" s="53">
        <f>IF($A70="","",SUMIFS(RECETAS!$J$5:$J$254,RECETAS!$C$5:$C$254,$A70))</f>
        <v/>
      </c>
      <c r="F70" s="53">
        <f>IF($A70="","",N($C70)+N($D70)-N($E70))</f>
        <v/>
      </c>
      <c r="G70" s="36" t="n"/>
      <c r="H70" s="27">
        <f>IF($A70="","",IF(AND(N($C70)=0,N($D70)=0),"SIN DATOS",IF($F70&lt;=$G70,"COMPRAR YA","OK")))</f>
        <v/>
      </c>
    </row>
    <row r="71">
      <c r="A71" s="28" t="n"/>
      <c r="B71" s="52">
        <f>IFERROR(IF($A71="","",INDEX(INSUMOS!$G$5:$G$84,MATCH($A71,INSUMOS!$B$5:$B$84,0))),"")</f>
        <v/>
      </c>
      <c r="C71" s="36" t="n"/>
      <c r="D71" s="36" t="n"/>
      <c r="E71" s="53">
        <f>IF($A71="","",SUMIFS(RECETAS!$J$5:$J$254,RECETAS!$C$5:$C$254,$A71))</f>
        <v/>
      </c>
      <c r="F71" s="53">
        <f>IF($A71="","",N($C71)+N($D71)-N($E71))</f>
        <v/>
      </c>
      <c r="G71" s="36" t="n"/>
      <c r="H71" s="27">
        <f>IF($A71="","",IF(AND(N($C71)=0,N($D71)=0),"SIN DATOS",IF($F71&lt;=$G71,"COMPRAR YA","OK")))</f>
        <v/>
      </c>
    </row>
    <row r="72">
      <c r="A72" s="28" t="n"/>
      <c r="B72" s="52">
        <f>IFERROR(IF($A72="","",INDEX(INSUMOS!$G$5:$G$84,MATCH($A72,INSUMOS!$B$5:$B$84,0))),"")</f>
        <v/>
      </c>
      <c r="C72" s="36" t="n"/>
      <c r="D72" s="36" t="n"/>
      <c r="E72" s="53">
        <f>IF($A72="","",SUMIFS(RECETAS!$J$5:$J$254,RECETAS!$C$5:$C$254,$A72))</f>
        <v/>
      </c>
      <c r="F72" s="53">
        <f>IF($A72="","",N($C72)+N($D72)-N($E72))</f>
        <v/>
      </c>
      <c r="G72" s="36" t="n"/>
      <c r="H72" s="27">
        <f>IF($A72="","",IF(AND(N($C72)=0,N($D72)=0),"SIN DATOS",IF($F72&lt;=$G72,"COMPRAR YA","OK")))</f>
        <v/>
      </c>
    </row>
    <row r="73">
      <c r="A73" s="28" t="n"/>
      <c r="B73" s="52">
        <f>IFERROR(IF($A73="","",INDEX(INSUMOS!$G$5:$G$84,MATCH($A73,INSUMOS!$B$5:$B$84,0))),"")</f>
        <v/>
      </c>
      <c r="C73" s="36" t="n"/>
      <c r="D73" s="36" t="n"/>
      <c r="E73" s="53">
        <f>IF($A73="","",SUMIFS(RECETAS!$J$5:$J$254,RECETAS!$C$5:$C$254,$A73))</f>
        <v/>
      </c>
      <c r="F73" s="53">
        <f>IF($A73="","",N($C73)+N($D73)-N($E73))</f>
        <v/>
      </c>
      <c r="G73" s="36" t="n"/>
      <c r="H73" s="27">
        <f>IF($A73="","",IF(AND(N($C73)=0,N($D73)=0),"SIN DATOS",IF($F73&lt;=$G73,"COMPRAR YA","OK")))</f>
        <v/>
      </c>
    </row>
    <row r="74">
      <c r="A74" s="28" t="n"/>
      <c r="B74" s="52">
        <f>IFERROR(IF($A74="","",INDEX(INSUMOS!$G$5:$G$84,MATCH($A74,INSUMOS!$B$5:$B$84,0))),"")</f>
        <v/>
      </c>
      <c r="C74" s="36" t="n"/>
      <c r="D74" s="36" t="n"/>
      <c r="E74" s="53">
        <f>IF($A74="","",SUMIFS(RECETAS!$J$5:$J$254,RECETAS!$C$5:$C$254,$A74))</f>
        <v/>
      </c>
      <c r="F74" s="53">
        <f>IF($A74="","",N($C74)+N($D74)-N($E74))</f>
        <v/>
      </c>
      <c r="G74" s="36" t="n"/>
      <c r="H74" s="27">
        <f>IF($A74="","",IF(AND(N($C74)=0,N($D74)=0),"SIN DATOS",IF($F74&lt;=$G74,"COMPRAR YA","OK")))</f>
        <v/>
      </c>
    </row>
    <row r="75">
      <c r="A75" s="28" t="n"/>
      <c r="B75" s="52">
        <f>IFERROR(IF($A75="","",INDEX(INSUMOS!$G$5:$G$84,MATCH($A75,INSUMOS!$B$5:$B$84,0))),"")</f>
        <v/>
      </c>
      <c r="C75" s="36" t="n"/>
      <c r="D75" s="36" t="n"/>
      <c r="E75" s="53">
        <f>IF($A75="","",SUMIFS(RECETAS!$J$5:$J$254,RECETAS!$C$5:$C$254,$A75))</f>
        <v/>
      </c>
      <c r="F75" s="53">
        <f>IF($A75="","",N($C75)+N($D75)-N($E75))</f>
        <v/>
      </c>
      <c r="G75" s="36" t="n"/>
      <c r="H75" s="27">
        <f>IF($A75="","",IF(AND(N($C75)=0,N($D75)=0),"SIN DATOS",IF($F75&lt;=$G75,"COMPRAR YA","OK")))</f>
        <v/>
      </c>
    </row>
    <row r="76">
      <c r="A76" s="28" t="n"/>
      <c r="B76" s="52">
        <f>IFERROR(IF($A76="","",INDEX(INSUMOS!$G$5:$G$84,MATCH($A76,INSUMOS!$B$5:$B$84,0))),"")</f>
        <v/>
      </c>
      <c r="C76" s="36" t="n"/>
      <c r="D76" s="36" t="n"/>
      <c r="E76" s="53">
        <f>IF($A76="","",SUMIFS(RECETAS!$J$5:$J$254,RECETAS!$C$5:$C$254,$A76))</f>
        <v/>
      </c>
      <c r="F76" s="53">
        <f>IF($A76="","",N($C76)+N($D76)-N($E76))</f>
        <v/>
      </c>
      <c r="G76" s="36" t="n"/>
      <c r="H76" s="27">
        <f>IF($A76="","",IF(AND(N($C76)=0,N($D76)=0),"SIN DATOS",IF($F76&lt;=$G76,"COMPRAR YA","OK")))</f>
        <v/>
      </c>
    </row>
    <row r="77">
      <c r="A77" s="28" t="n"/>
      <c r="B77" s="52">
        <f>IFERROR(IF($A77="","",INDEX(INSUMOS!$G$5:$G$84,MATCH($A77,INSUMOS!$B$5:$B$84,0))),"")</f>
        <v/>
      </c>
      <c r="C77" s="36" t="n"/>
      <c r="D77" s="36" t="n"/>
      <c r="E77" s="53">
        <f>IF($A77="","",SUMIFS(RECETAS!$J$5:$J$254,RECETAS!$C$5:$C$254,$A77))</f>
        <v/>
      </c>
      <c r="F77" s="53">
        <f>IF($A77="","",N($C77)+N($D77)-N($E77))</f>
        <v/>
      </c>
      <c r="G77" s="36" t="n"/>
      <c r="H77" s="27">
        <f>IF($A77="","",IF(AND(N($C77)=0,N($D77)=0),"SIN DATOS",IF($F77&lt;=$G77,"COMPRAR YA","OK")))</f>
        <v/>
      </c>
    </row>
    <row r="78">
      <c r="A78" s="28" t="n"/>
      <c r="B78" s="52">
        <f>IFERROR(IF($A78="","",INDEX(INSUMOS!$G$5:$G$84,MATCH($A78,INSUMOS!$B$5:$B$84,0))),"")</f>
        <v/>
      </c>
      <c r="C78" s="36" t="n"/>
      <c r="D78" s="36" t="n"/>
      <c r="E78" s="53">
        <f>IF($A78="","",SUMIFS(RECETAS!$J$5:$J$254,RECETAS!$C$5:$C$254,$A78))</f>
        <v/>
      </c>
      <c r="F78" s="53">
        <f>IF($A78="","",N($C78)+N($D78)-N($E78))</f>
        <v/>
      </c>
      <c r="G78" s="36" t="n"/>
      <c r="H78" s="27">
        <f>IF($A78="","",IF(AND(N($C78)=0,N($D78)=0),"SIN DATOS",IF($F78&lt;=$G78,"COMPRAR YA","OK")))</f>
        <v/>
      </c>
    </row>
    <row r="79">
      <c r="A79" s="28" t="n"/>
      <c r="B79" s="52">
        <f>IFERROR(IF($A79="","",INDEX(INSUMOS!$G$5:$G$84,MATCH($A79,INSUMOS!$B$5:$B$84,0))),"")</f>
        <v/>
      </c>
      <c r="C79" s="36" t="n"/>
      <c r="D79" s="36" t="n"/>
      <c r="E79" s="53">
        <f>IF($A79="","",SUMIFS(RECETAS!$J$5:$J$254,RECETAS!$C$5:$C$254,$A79))</f>
        <v/>
      </c>
      <c r="F79" s="53">
        <f>IF($A79="","",N($C79)+N($D79)-N($E79))</f>
        <v/>
      </c>
      <c r="G79" s="36" t="n"/>
      <c r="H79" s="27">
        <f>IF($A79="","",IF(AND(N($C79)=0,N($D79)=0),"SIN DATOS",IF($F79&lt;=$G79,"COMPRAR YA","OK")))</f>
        <v/>
      </c>
    </row>
    <row r="80">
      <c r="A80" s="28" t="n"/>
      <c r="B80" s="52">
        <f>IFERROR(IF($A80="","",INDEX(INSUMOS!$G$5:$G$84,MATCH($A80,INSUMOS!$B$5:$B$84,0))),"")</f>
        <v/>
      </c>
      <c r="C80" s="36" t="n"/>
      <c r="D80" s="36" t="n"/>
      <c r="E80" s="53">
        <f>IF($A80="","",SUMIFS(RECETAS!$J$5:$J$254,RECETAS!$C$5:$C$254,$A80))</f>
        <v/>
      </c>
      <c r="F80" s="53">
        <f>IF($A80="","",N($C80)+N($D80)-N($E80))</f>
        <v/>
      </c>
      <c r="G80" s="36" t="n"/>
      <c r="H80" s="27">
        <f>IF($A80="","",IF(AND(N($C80)=0,N($D80)=0),"SIN DATOS",IF($F80&lt;=$G80,"COMPRAR YA","OK")))</f>
        <v/>
      </c>
    </row>
    <row r="81">
      <c r="A81" s="28" t="n"/>
      <c r="B81" s="52">
        <f>IFERROR(IF($A81="","",INDEX(INSUMOS!$G$5:$G$84,MATCH($A81,INSUMOS!$B$5:$B$84,0))),"")</f>
        <v/>
      </c>
      <c r="C81" s="36" t="n"/>
      <c r="D81" s="36" t="n"/>
      <c r="E81" s="53">
        <f>IF($A81="","",SUMIFS(RECETAS!$J$5:$J$254,RECETAS!$C$5:$C$254,$A81))</f>
        <v/>
      </c>
      <c r="F81" s="53">
        <f>IF($A81="","",N($C81)+N($D81)-N($E81))</f>
        <v/>
      </c>
      <c r="G81" s="36" t="n"/>
      <c r="H81" s="27">
        <f>IF($A81="","",IF(AND(N($C81)=0,N($D81)=0),"SIN DATOS",IF($F81&lt;=$G81,"COMPRAR YA","OK")))</f>
        <v/>
      </c>
    </row>
    <row r="82">
      <c r="A82" s="28" t="n"/>
      <c r="B82" s="52">
        <f>IFERROR(IF($A82="","",INDEX(INSUMOS!$G$5:$G$84,MATCH($A82,INSUMOS!$B$5:$B$84,0))),"")</f>
        <v/>
      </c>
      <c r="C82" s="36" t="n"/>
      <c r="D82" s="36" t="n"/>
      <c r="E82" s="53">
        <f>IF($A82="","",SUMIFS(RECETAS!$J$5:$J$254,RECETAS!$C$5:$C$254,$A82))</f>
        <v/>
      </c>
      <c r="F82" s="53">
        <f>IF($A82="","",N($C82)+N($D82)-N($E82))</f>
        <v/>
      </c>
      <c r="G82" s="36" t="n"/>
      <c r="H82" s="27">
        <f>IF($A82="","",IF(AND(N($C82)=0,N($D82)=0),"SIN DATOS",IF($F82&lt;=$G82,"COMPRAR YA","OK")))</f>
        <v/>
      </c>
    </row>
    <row r="83">
      <c r="A83" s="28" t="n"/>
      <c r="B83" s="52">
        <f>IFERROR(IF($A83="","",INDEX(INSUMOS!$G$5:$G$84,MATCH($A83,INSUMOS!$B$5:$B$84,0))),"")</f>
        <v/>
      </c>
      <c r="C83" s="36" t="n"/>
      <c r="D83" s="36" t="n"/>
      <c r="E83" s="53">
        <f>IF($A83="","",SUMIFS(RECETAS!$J$5:$J$254,RECETAS!$C$5:$C$254,$A83))</f>
        <v/>
      </c>
      <c r="F83" s="53">
        <f>IF($A83="","",N($C83)+N($D83)-N($E83))</f>
        <v/>
      </c>
      <c r="G83" s="36" t="n"/>
      <c r="H83" s="27">
        <f>IF($A83="","",IF(AND(N($C83)=0,N($D83)=0),"SIN DATOS",IF($F83&lt;=$G83,"COMPRAR YA","OK")))</f>
        <v/>
      </c>
    </row>
    <row r="84">
      <c r="A84" s="28" t="n"/>
      <c r="B84" s="52">
        <f>IFERROR(IF($A84="","",INDEX(INSUMOS!$G$5:$G$84,MATCH($A84,INSUMOS!$B$5:$B$84,0))),"")</f>
        <v/>
      </c>
      <c r="C84" s="36" t="n"/>
      <c r="D84" s="36" t="n"/>
      <c r="E84" s="53">
        <f>IF($A84="","",SUMIFS(RECETAS!$J$5:$J$254,RECETAS!$C$5:$C$254,$A84))</f>
        <v/>
      </c>
      <c r="F84" s="53">
        <f>IF($A84="","",N($C84)+N($D84)-N($E84))</f>
        <v/>
      </c>
      <c r="G84" s="36" t="n"/>
      <c r="H84" s="27">
        <f>IF($A84="","",IF(AND(N($C84)=0,N($D84)=0),"SIN DATOS",IF($F84&lt;=$G84,"COMPRAR YA","OK")))</f>
        <v/>
      </c>
    </row>
  </sheetData>
  <conditionalFormatting sqref="H5:H84">
    <cfRule type="expression" priority="1" dxfId="0">
      <formula>EXACT($H5,"COMPRAR YA")</formula>
    </cfRule>
  </conditionalFormatting>
  <dataValidations count="1">
    <dataValidation sqref="A5:A84" showDropDown="0" showInputMessage="0" showErrorMessage="0" allowBlank="1" type="list">
      <formula1>=INSUMOS!$B$5:$B$84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D7D31"/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5" customWidth="1" min="3" max="3"/>
    <col width="11" customWidth="1" min="4" max="4"/>
    <col width="46" customWidth="1" min="5" max="5"/>
  </cols>
  <sheetData>
    <row r="1" ht="24" customHeight="1">
      <c r="A1" s="1" t="inlineStr">
        <is>
          <t>GASTOS FIJOS MENSUALES</t>
        </is>
      </c>
    </row>
    <row r="2">
      <c r="A2" s="2" t="inlineStr">
        <is>
          <t>Lo que pagas SI O SI cada mes, vendas o no vendas. Alimenta el punto de equilibrio.</t>
        </is>
      </c>
    </row>
    <row r="4" ht="30" customHeight="1">
      <c r="A4" s="25" t="inlineStr">
        <is>
          <t>#</t>
        </is>
      </c>
      <c r="B4" s="25" t="inlineStr">
        <is>
          <t>Concepto</t>
        </is>
      </c>
      <c r="C4" s="25" t="inlineStr">
        <is>
          <t>Monto mensual</t>
        </is>
      </c>
      <c r="D4" s="25" t="inlineStr">
        <is>
          <t>¿Activo?</t>
        </is>
      </c>
      <c r="E4" s="25" t="inlineStr">
        <is>
          <t>Notas</t>
        </is>
      </c>
    </row>
    <row r="5">
      <c r="A5" s="29" t="n">
        <v>1</v>
      </c>
      <c r="B5" s="28" t="inlineStr">
        <is>
          <t>Arriendo del local</t>
        </is>
      </c>
      <c r="C5" s="31" t="n">
        <v>300</v>
      </c>
      <c r="D5" s="28" t="inlineStr">
        <is>
          <t>SI</t>
        </is>
      </c>
      <c r="E5" s="28" t="inlineStr">
        <is>
          <t>Estimado analisis-costos.md</t>
        </is>
      </c>
    </row>
    <row r="6">
      <c r="A6" s="29" t="n">
        <v>2</v>
      </c>
      <c r="B6" s="28" t="inlineStr">
        <is>
          <t>Luz + agua</t>
        </is>
      </c>
      <c r="C6" s="31" t="n">
        <v>80</v>
      </c>
      <c r="D6" s="28" t="inlineStr">
        <is>
          <t>SI</t>
        </is>
      </c>
      <c r="E6" s="28" t="inlineStr">
        <is>
          <t>Sube con la maquina granizadora encendida todo el dia</t>
        </is>
      </c>
    </row>
    <row r="7">
      <c r="A7" s="29" t="n">
        <v>3</v>
      </c>
      <c r="B7" s="28" t="inlineStr">
        <is>
          <t>Internet / camara</t>
        </is>
      </c>
      <c r="C7" s="31" t="n">
        <v>30</v>
      </c>
      <c r="D7" s="28" t="inlineStr">
        <is>
          <t>SI</t>
        </is>
      </c>
      <c r="E7" s="28" t="inlineStr"/>
    </row>
    <row r="8">
      <c r="A8" s="29" t="n">
        <v>4</v>
      </c>
      <c r="B8" s="28" t="inlineStr">
        <is>
          <t>Publicidad (Instagram/TikTok)</t>
        </is>
      </c>
      <c r="C8" s="31" t="n">
        <v>50</v>
      </c>
      <c r="D8" s="28" t="inlineStr">
        <is>
          <t>SI</t>
        </is>
      </c>
      <c r="E8" s="28" t="inlineStr"/>
    </row>
    <row r="9">
      <c r="A9" s="29" t="n">
        <v>5</v>
      </c>
      <c r="B9" s="28" t="inlineStr">
        <is>
          <t>Descartables base (colchon mensual)</t>
        </is>
      </c>
      <c r="C9" s="31" t="n">
        <v>60</v>
      </c>
      <c r="D9" s="28" t="inlineStr">
        <is>
          <t>SI</t>
        </is>
      </c>
      <c r="E9" s="28" t="inlineStr">
        <is>
          <t>Si ya los cargas en RECETAS, ponlo en NO para no duplicar</t>
        </is>
      </c>
    </row>
    <row r="10">
      <c r="A10" s="29" t="n">
        <v>6</v>
      </c>
      <c r="B10" s="28" t="inlineStr">
        <is>
          <t>Sueldo empleado 1</t>
        </is>
      </c>
      <c r="C10" s="31" t="n">
        <v>460</v>
      </c>
      <c r="D10" s="28" t="inlineStr">
        <is>
          <t>NO</t>
        </is>
      </c>
      <c r="E10" s="28" t="inlineStr">
        <is>
          <t>Salario basico Ecuador. Poner SI cuando contrates</t>
        </is>
      </c>
    </row>
    <row r="11">
      <c r="A11" s="29" t="n">
        <v>7</v>
      </c>
      <c r="B11" s="28" t="inlineStr">
        <is>
          <t>Sueldo empleado 2 (cocina)</t>
        </is>
      </c>
      <c r="C11" s="31" t="n">
        <v>460</v>
      </c>
      <c r="D11" s="28" t="inlineStr">
        <is>
          <t>NO</t>
        </is>
      </c>
      <c r="E11" s="28" t="inlineStr">
        <is>
          <t>Cuando entre la linea de comida</t>
        </is>
      </c>
    </row>
    <row r="12">
      <c r="A12" s="29" t="n">
        <v>8</v>
      </c>
      <c r="B12" s="28" t="inlineStr">
        <is>
          <t>Contador / tramites</t>
        </is>
      </c>
      <c r="C12" s="31" t="n">
        <v>30</v>
      </c>
      <c r="D12" s="28" t="inlineStr">
        <is>
          <t>NO</t>
        </is>
      </c>
      <c r="E12" s="28" t="inlineStr"/>
    </row>
    <row r="13">
      <c r="A13" s="29" t="n">
        <v>9</v>
      </c>
      <c r="B13" s="28" t="inlineStr">
        <is>
          <t>Mantenimiento equipos</t>
        </is>
      </c>
      <c r="C13" s="31" t="n">
        <v>25</v>
      </c>
      <c r="D13" s="28" t="inlineStr">
        <is>
          <t>NO</t>
        </is>
      </c>
      <c r="E13" s="28" t="inlineStr">
        <is>
          <t>Maquina granizadora y licuadora</t>
        </is>
      </c>
    </row>
    <row r="14">
      <c r="A14" s="29" t="n"/>
      <c r="B14" s="28" t="n"/>
      <c r="C14" s="31" t="n"/>
      <c r="D14" s="28" t="n"/>
      <c r="E14" s="28" t="n"/>
    </row>
    <row r="15">
      <c r="A15" s="29" t="n"/>
      <c r="B15" s="28" t="n"/>
      <c r="C15" s="31" t="n"/>
      <c r="D15" s="28" t="n"/>
      <c r="E15" s="28" t="n"/>
    </row>
    <row r="16">
      <c r="A16" s="29" t="n"/>
      <c r="B16" s="28" t="n"/>
      <c r="C16" s="31" t="n"/>
      <c r="D16" s="28" t="n"/>
      <c r="E16" s="28" t="n"/>
    </row>
    <row r="17">
      <c r="A17" s="29" t="n"/>
      <c r="B17" s="28" t="n"/>
      <c r="C17" s="31" t="n"/>
      <c r="D17" s="28" t="n"/>
      <c r="E17" s="28" t="n"/>
    </row>
    <row r="18">
      <c r="A18" s="29" t="n"/>
      <c r="B18" s="28" t="n"/>
      <c r="C18" s="31" t="n"/>
      <c r="D18" s="28" t="n"/>
      <c r="E18" s="28" t="n"/>
    </row>
    <row r="19">
      <c r="A19" s="29" t="n"/>
      <c r="B19" s="28" t="n"/>
      <c r="C19" s="31" t="n"/>
      <c r="D19" s="28" t="n"/>
      <c r="E19" s="28" t="n"/>
    </row>
    <row r="20">
      <c r="A20" s="29" t="n"/>
      <c r="B20" s="28" t="n"/>
      <c r="C20" s="31" t="n"/>
      <c r="D20" s="28" t="n"/>
      <c r="E20" s="28" t="n"/>
    </row>
    <row r="21">
      <c r="A21" s="29" t="n"/>
      <c r="B21" s="28" t="n"/>
      <c r="C21" s="31" t="n"/>
      <c r="D21" s="28" t="n"/>
      <c r="E21" s="28" t="n"/>
    </row>
    <row r="22">
      <c r="A22" s="29" t="n"/>
      <c r="B22" s="28" t="n"/>
      <c r="C22" s="31" t="n"/>
      <c r="D22" s="28" t="n"/>
      <c r="E22" s="28" t="n"/>
    </row>
    <row r="23">
      <c r="A23" s="29" t="n"/>
      <c r="B23" s="28" t="n"/>
      <c r="C23" s="31" t="n"/>
      <c r="D23" s="28" t="n"/>
      <c r="E23" s="28" t="n"/>
    </row>
    <row r="24">
      <c r="A24" s="29" t="n"/>
      <c r="B24" s="28" t="n"/>
      <c r="C24" s="31" t="n"/>
      <c r="D24" s="28" t="n"/>
      <c r="E24" s="28" t="n"/>
    </row>
    <row r="26">
      <c r="B26" s="54" t="inlineStr">
        <is>
          <t>TOTAL FIJOS ACTIVOS / MES</t>
        </is>
      </c>
      <c r="C26" s="55">
        <f>SUMIFS($C$5:$C$24,$D$5:$D$24,"SI")</f>
        <v/>
      </c>
    </row>
    <row r="27">
      <c r="B27" s="10" t="inlineStr">
        <is>
          <t>Costo fijo por dia de operacion</t>
        </is>
      </c>
      <c r="C27" s="56">
        <f>IFERROR($C$26/INICIO!$C$7,0)</f>
        <v/>
      </c>
    </row>
    <row r="29">
      <c r="B29" s="2" t="inlineStr">
        <is>
          <t>IMPORTANTE: esta hoja es tu PLAN de fijos (sirve para el punto de equilibrio y las proyecciones).</t>
        </is>
      </c>
    </row>
    <row r="30">
      <c r="B30" s="2" t="inlineStr">
        <is>
          <t>Cuando REALMENTE pagues el arriendo o la luz, registralo ademas en la hoja GASTOS. No es duplicar: uno es plan, el otro es real.</t>
        </is>
      </c>
    </row>
  </sheetData>
  <dataValidations count="1">
    <dataValidation sqref="D5:D24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D7D31"/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6" customWidth="1" min="3" max="3"/>
    <col width="62" customWidth="1" min="4" max="4"/>
  </cols>
  <sheetData>
    <row r="1" ht="24" customHeight="1">
      <c r="A1" s="1" t="inlineStr">
        <is>
          <t>PUNTO DE EQUILIBRIO</t>
        </is>
      </c>
    </row>
    <row r="2">
      <c r="A2" s="2" t="inlineStr">
        <is>
          <t>Cuanto tienes que vender para no perder plata. El numero mas importante del negocio.</t>
        </is>
      </c>
    </row>
    <row r="4">
      <c r="B4" s="3" t="inlineStr">
        <is>
          <t>DATOS DEL MES ANALIZADO (viene de VENTAS del mes en INICIO)</t>
        </is>
      </c>
      <c r="C4" s="4" t="n"/>
      <c r="D4" s="4" t="n"/>
    </row>
    <row r="5">
      <c r="B5" s="6" t="inlineStr">
        <is>
          <t>Ingreso neto del mes (sin IVA)</t>
        </is>
      </c>
      <c r="C5" s="57">
        <f>SUMIFS(VENTAS!$H$5:$H$504,VENTAS!$B$5:$B$504,INICIO!$C$8)</f>
        <v/>
      </c>
      <c r="D5" s="8" t="inlineStr">
        <is>
          <t>Lo que realmente entra a tu bolsillo</t>
        </is>
      </c>
    </row>
    <row r="6">
      <c r="B6" s="6" t="inlineStr">
        <is>
          <t>Costo de ventas del mes</t>
        </is>
      </c>
      <c r="C6" s="57">
        <f>SUMIFS(VENTAS!$I$5:$I$504,VENTAS!$B$5:$B$504,INICIO!$C$8)</f>
        <v/>
      </c>
      <c r="D6" s="8" t="inlineStr">
        <is>
          <t>Insumos consumidos</t>
        </is>
      </c>
    </row>
    <row r="7">
      <c r="B7" s="6" t="inlineStr">
        <is>
          <t>Unidades vendidas</t>
        </is>
      </c>
      <c r="C7" s="16">
        <f>SUMIFS(VENTAS!$D$5:$D$504,VENTAS!$B$5:$B$504,INICIO!$C$8)</f>
        <v/>
      </c>
      <c r="D7" s="8" t="inlineStr"/>
    </row>
    <row r="8">
      <c r="B8" s="6" t="inlineStr">
        <is>
          <t>Ticket promedio neto por unidad</t>
        </is>
      </c>
      <c r="C8" s="57">
        <f>IFERROR($C$5/$C$7,0)</f>
        <v/>
      </c>
      <c r="D8" s="8" t="inlineStr"/>
    </row>
    <row r="9">
      <c r="B9" s="6" t="inlineStr">
        <is>
          <t>Costo promedio por unidad</t>
        </is>
      </c>
      <c r="C9" s="57">
        <f>IFERROR($C$6/$C$7,0)</f>
        <v/>
      </c>
      <c r="D9" s="8" t="inlineStr"/>
    </row>
    <row r="10">
      <c r="B10" s="10" t="inlineStr">
        <is>
          <t>MARGEN DE CONTRIBUCION por unidad</t>
        </is>
      </c>
      <c r="C10" s="58">
        <f>$C$8-$C$9</f>
        <v/>
      </c>
      <c r="D10" s="8" t="inlineStr">
        <is>
          <t>Lo que deja cada venta para pagar los fijos</t>
        </is>
      </c>
    </row>
    <row r="11">
      <c r="B11" s="6" t="inlineStr">
        <is>
          <t>Margen de contribucion %</t>
        </is>
      </c>
      <c r="C11" s="59">
        <f>IFERROR($C$10/$C$8,0)</f>
        <v/>
      </c>
      <c r="D11" s="8" t="inlineStr"/>
    </row>
    <row r="13">
      <c r="B13" s="3" t="inlineStr">
        <is>
          <t>COSTOS FIJOS</t>
        </is>
      </c>
      <c r="C13" s="4" t="n"/>
      <c r="D13" s="4" t="n"/>
    </row>
    <row r="14">
      <c r="B14" s="6" t="inlineStr">
        <is>
          <t>Total gastos fijos activos / mes</t>
        </is>
      </c>
      <c r="C14" s="57">
        <f>GASTOS_FIJOS!$C$26</f>
        <v/>
      </c>
      <c r="D14" s="8" t="inlineStr">
        <is>
          <t>Editable en la hoja GASTOS_FIJOS</t>
        </is>
      </c>
    </row>
    <row r="15">
      <c r="B15" s="6" t="inlineStr">
        <is>
          <t>Dias de operacion al mes</t>
        </is>
      </c>
      <c r="C15" s="16">
        <f>INICIO!$C$7</f>
        <v/>
      </c>
      <c r="D15" s="8" t="inlineStr">
        <is>
          <t>Editable en INICIO</t>
        </is>
      </c>
    </row>
    <row r="17">
      <c r="B17" s="3" t="inlineStr">
        <is>
          <t>PUNTO DE EQUILIBRIO</t>
        </is>
      </c>
      <c r="C17" s="4" t="n"/>
      <c r="D17" s="4" t="n"/>
    </row>
    <row r="18">
      <c r="B18" s="10" t="inlineStr">
        <is>
          <t>Unidades a vender AL MES para no perder</t>
        </is>
      </c>
      <c r="C18" s="60">
        <f>IFERROR(ROUNDUP($C$14/$C$10,0),0)</f>
        <v/>
      </c>
      <c r="D18" s="8" t="inlineStr"/>
    </row>
    <row r="19">
      <c r="B19" s="10" t="inlineStr">
        <is>
          <t>Unidades a vender AL DIA para no perder</t>
        </is>
      </c>
      <c r="C19" s="61">
        <f>IFERROR(ROUNDUP($C$18/$C$15,0),0)</f>
        <v/>
      </c>
      <c r="D19" s="8" t="inlineStr">
        <is>
          <t>ESTE es el numero que tienes que tener en la cabeza</t>
        </is>
      </c>
    </row>
    <row r="20">
      <c r="B20" s="6" t="inlineStr">
        <is>
          <t>Venta (con IVA) necesaria al mes</t>
        </is>
      </c>
      <c r="C20" s="57">
        <f>IFERROR($C$18*$C$8*(1+INICIO!$C$5),0)</f>
        <v/>
      </c>
      <c r="D20" s="8" t="inlineStr"/>
    </row>
    <row r="21">
      <c r="B21" s="6" t="inlineStr">
        <is>
          <t>Venta (con IVA) necesaria al dia</t>
        </is>
      </c>
      <c r="C21" s="57">
        <f>IFERROR($C$20/$C$15,0)</f>
        <v/>
      </c>
      <c r="D21" s="8" t="inlineStr"/>
    </row>
    <row r="23">
      <c r="B23" s="3" t="inlineStr">
        <is>
          <t>COMO VAS ESTE MES</t>
        </is>
      </c>
      <c r="C23" s="4" t="n"/>
      <c r="D23" s="4" t="n"/>
    </row>
    <row r="24">
      <c r="B24" s="6" t="inlineStr">
        <is>
          <t>Unidades vendidas vs punto de equilibrio</t>
        </is>
      </c>
      <c r="C24" s="59">
        <f>IFERROR($C$7/$C$18,0)</f>
        <v/>
      </c>
      <c r="D24" s="8" t="inlineStr">
        <is>
          <t>100% = ya cubriste costos. Todo lo demas es ganancia</t>
        </is>
      </c>
    </row>
    <row r="25">
      <c r="B25" s="10" t="inlineStr">
        <is>
          <t>Utilidad neta del mes</t>
        </is>
      </c>
      <c r="C25" s="58">
        <f>$C$5-$C$6-GASTOS_FIJOS!$C$26</f>
        <v/>
      </c>
      <c r="D25" s="8" t="inlineStr">
        <is>
          <t>Ingreso neto - costo de ventas - fijos</t>
        </is>
      </c>
    </row>
    <row r="26">
      <c r="B26" s="6" t="inlineStr">
        <is>
          <t>Estado</t>
        </is>
      </c>
      <c r="C26" s="27">
        <f>IF($C$25&gt;0,"GANANDO",IF($C$25=0,"EN EL LIMITE","PERDIENDO PLATA"))</f>
        <v/>
      </c>
      <c r="D26" s="8" t="inlineStr"/>
    </row>
    <row r="27">
      <c r="D27" s="2" t="inlineStr">
        <is>
          <t>Nota: aqui se usan los fijos PLANIFICADOS (GASTOS_FIJOS). El DASHBOARD usa los gastos REALES que registraste.</t>
        </is>
      </c>
    </row>
    <row r="28">
      <c r="B28" s="3" t="inlineStr">
        <is>
          <t>SIMULADOR: ¿que pasa si...?</t>
        </is>
      </c>
      <c r="C28" s="4" t="n"/>
      <c r="D28" s="4" t="n"/>
    </row>
    <row r="29">
      <c r="B29" s="6" t="inlineStr">
        <is>
          <t>Unidades al dia (escribe aqui)</t>
        </is>
      </c>
      <c r="C29" s="62" t="n">
        <v>30</v>
      </c>
    </row>
    <row r="30">
      <c r="B30" s="10" t="inlineStr">
        <is>
          <t>Utilidad neta proyectada al mes</t>
        </is>
      </c>
      <c r="C30" s="58">
        <f>IFERROR($C$29*$C$15*$C$10-$C$14,0)</f>
        <v/>
      </c>
      <c r="D30" s="8" t="inlineStr">
        <is>
          <t>Con el margen de contribucion actual</t>
        </is>
      </c>
    </row>
    <row r="31">
      <c r="B31" s="6" t="inlineStr">
        <is>
          <t>Venta bruta proyectada (c/IVA) al mes</t>
        </is>
      </c>
      <c r="C31" s="57">
        <f>IFERROR($C$29*$C$15*$C$8*(1+INICIO!$C$5),0)</f>
        <v/>
      </c>
      <c r="D31" s="8" t="inlineStr"/>
    </row>
  </sheetData>
  <conditionalFormatting sqref="C25:C26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D7D31"/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15" customWidth="1" min="8" max="8"/>
    <col width="14" customWidth="1" min="9" max="9"/>
  </cols>
  <sheetData>
    <row r="1" ht="24" customHeight="1">
      <c r="A1" s="1" t="inlineStr">
        <is>
          <t>ESTADO DE RESULTADOS (P&amp;G) — REAL</t>
        </is>
      </c>
    </row>
    <row r="2">
      <c r="A2" s="2" t="inlineStr">
        <is>
          <t>Se llena solo con lo que registras en VENTAS y GASTOS. No escribes nada aqui.</t>
        </is>
      </c>
    </row>
    <row r="4" ht="30" customHeight="1">
      <c r="A4" s="25" t="inlineStr">
        <is>
          <t>Mes</t>
        </is>
      </c>
      <c r="B4" s="25" t="inlineStr">
        <is>
          <t>Venta bruta (c/IVA)</t>
        </is>
      </c>
      <c r="C4" s="25" t="inlineStr">
        <is>
          <t>IVA cobrado</t>
        </is>
      </c>
      <c r="D4" s="25" t="inlineStr">
        <is>
          <t>INGRESO NETO</t>
        </is>
      </c>
      <c r="E4" s="25" t="inlineStr">
        <is>
          <t>Costo de ventas</t>
        </is>
      </c>
      <c r="F4" s="25" t="inlineStr">
        <is>
          <t>UTILIDAD BRUTA</t>
        </is>
      </c>
      <c r="G4" s="25" t="inlineStr">
        <is>
          <t>Margen bruto</t>
        </is>
      </c>
      <c r="H4" s="25" t="inlineStr">
        <is>
          <t>Gastos operativos</t>
        </is>
      </c>
      <c r="I4" s="25" t="inlineStr">
        <is>
          <t>UTILIDAD NETA</t>
        </is>
      </c>
    </row>
    <row r="5">
      <c r="A5" s="27" t="inlineStr">
        <is>
          <t>2026-09</t>
        </is>
      </c>
      <c r="B5" s="17">
        <f>SUMIFS(VENTAS!$F$5:$F$504,VENTAS!$B$5:$B$504,$A5)</f>
        <v/>
      </c>
      <c r="C5" s="17">
        <f>SUMIFS(VENTAS!$G$5:$G$504,VENTAS!$B$5:$B$504,$A5)</f>
        <v/>
      </c>
      <c r="D5" s="17">
        <f>SUMIFS(VENTAS!$H$5:$H$504,VENTAS!$B$5:$B$504,$A5)</f>
        <v/>
      </c>
      <c r="E5" s="17">
        <f>SUMIFS(VENTAS!$I$5:$I$504,VENTAS!$B$5:$B$504,$A5)</f>
        <v/>
      </c>
      <c r="F5" s="17">
        <f>$D5-$E5</f>
        <v/>
      </c>
      <c r="G5" s="35">
        <f>IFERROR($F5/$D5,0)</f>
        <v/>
      </c>
      <c r="H5" s="17">
        <f>SUMIFS(GASTOS!$E$5:$E$304,GASTOS!$B$5:$B$304,$A5)-SUMIFS(GASTOS!$E$5:$E$304,GASTOS!$B$5:$B$304,$A5,GASTOS!$C$5:$C$304,"Insumos")-SUMIFS(GASTOS!$E$5:$E$304,GASTOS!$B$5:$B$304,$A5,GASTOS!$C$5:$C$304,"Descartables")</f>
        <v/>
      </c>
      <c r="I5" s="63">
        <f>$F5-$H5</f>
        <v/>
      </c>
    </row>
    <row r="6">
      <c r="A6" s="27" t="inlineStr">
        <is>
          <t>2026-10</t>
        </is>
      </c>
      <c r="B6" s="17">
        <f>SUMIFS(VENTAS!$F$5:$F$504,VENTAS!$B$5:$B$504,$A6)</f>
        <v/>
      </c>
      <c r="C6" s="17">
        <f>SUMIFS(VENTAS!$G$5:$G$504,VENTAS!$B$5:$B$504,$A6)</f>
        <v/>
      </c>
      <c r="D6" s="17">
        <f>SUMIFS(VENTAS!$H$5:$H$504,VENTAS!$B$5:$B$504,$A6)</f>
        <v/>
      </c>
      <c r="E6" s="17">
        <f>SUMIFS(VENTAS!$I$5:$I$504,VENTAS!$B$5:$B$504,$A6)</f>
        <v/>
      </c>
      <c r="F6" s="17">
        <f>$D6-$E6</f>
        <v/>
      </c>
      <c r="G6" s="35">
        <f>IFERROR($F6/$D6,0)</f>
        <v/>
      </c>
      <c r="H6" s="17">
        <f>SUMIFS(GASTOS!$E$5:$E$304,GASTOS!$B$5:$B$304,$A6)-SUMIFS(GASTOS!$E$5:$E$304,GASTOS!$B$5:$B$304,$A6,GASTOS!$C$5:$C$304,"Insumos")-SUMIFS(GASTOS!$E$5:$E$304,GASTOS!$B$5:$B$304,$A6,GASTOS!$C$5:$C$304,"Descartables")</f>
        <v/>
      </c>
      <c r="I6" s="63">
        <f>$F6-$H6</f>
        <v/>
      </c>
    </row>
    <row r="7">
      <c r="A7" s="27" t="inlineStr">
        <is>
          <t>2026-11</t>
        </is>
      </c>
      <c r="B7" s="17">
        <f>SUMIFS(VENTAS!$F$5:$F$504,VENTAS!$B$5:$B$504,$A7)</f>
        <v/>
      </c>
      <c r="C7" s="17">
        <f>SUMIFS(VENTAS!$G$5:$G$504,VENTAS!$B$5:$B$504,$A7)</f>
        <v/>
      </c>
      <c r="D7" s="17">
        <f>SUMIFS(VENTAS!$H$5:$H$504,VENTAS!$B$5:$B$504,$A7)</f>
        <v/>
      </c>
      <c r="E7" s="17">
        <f>SUMIFS(VENTAS!$I$5:$I$504,VENTAS!$B$5:$B$504,$A7)</f>
        <v/>
      </c>
      <c r="F7" s="17">
        <f>$D7-$E7</f>
        <v/>
      </c>
      <c r="G7" s="35">
        <f>IFERROR($F7/$D7,0)</f>
        <v/>
      </c>
      <c r="H7" s="17">
        <f>SUMIFS(GASTOS!$E$5:$E$304,GASTOS!$B$5:$B$304,$A7)-SUMIFS(GASTOS!$E$5:$E$304,GASTOS!$B$5:$B$304,$A7,GASTOS!$C$5:$C$304,"Insumos")-SUMIFS(GASTOS!$E$5:$E$304,GASTOS!$B$5:$B$304,$A7,GASTOS!$C$5:$C$304,"Descartables")</f>
        <v/>
      </c>
      <c r="I7" s="63">
        <f>$F7-$H7</f>
        <v/>
      </c>
    </row>
    <row r="8">
      <c r="A8" s="27" t="inlineStr">
        <is>
          <t>2026-12</t>
        </is>
      </c>
      <c r="B8" s="17">
        <f>SUMIFS(VENTAS!$F$5:$F$504,VENTAS!$B$5:$B$504,$A8)</f>
        <v/>
      </c>
      <c r="C8" s="17">
        <f>SUMIFS(VENTAS!$G$5:$G$504,VENTAS!$B$5:$B$504,$A8)</f>
        <v/>
      </c>
      <c r="D8" s="17">
        <f>SUMIFS(VENTAS!$H$5:$H$504,VENTAS!$B$5:$B$504,$A8)</f>
        <v/>
      </c>
      <c r="E8" s="17">
        <f>SUMIFS(VENTAS!$I$5:$I$504,VENTAS!$B$5:$B$504,$A8)</f>
        <v/>
      </c>
      <c r="F8" s="17">
        <f>$D8-$E8</f>
        <v/>
      </c>
      <c r="G8" s="35">
        <f>IFERROR($F8/$D8,0)</f>
        <v/>
      </c>
      <c r="H8" s="17">
        <f>SUMIFS(GASTOS!$E$5:$E$304,GASTOS!$B$5:$B$304,$A8)-SUMIFS(GASTOS!$E$5:$E$304,GASTOS!$B$5:$B$304,$A8,GASTOS!$C$5:$C$304,"Insumos")-SUMIFS(GASTOS!$E$5:$E$304,GASTOS!$B$5:$B$304,$A8,GASTOS!$C$5:$C$304,"Descartables")</f>
        <v/>
      </c>
      <c r="I8" s="63">
        <f>$F8-$H8</f>
        <v/>
      </c>
    </row>
    <row r="9">
      <c r="A9" s="27" t="inlineStr">
        <is>
          <t>2027-01</t>
        </is>
      </c>
      <c r="B9" s="17">
        <f>SUMIFS(VENTAS!$F$5:$F$504,VENTAS!$B$5:$B$504,$A9)</f>
        <v/>
      </c>
      <c r="C9" s="17">
        <f>SUMIFS(VENTAS!$G$5:$G$504,VENTAS!$B$5:$B$504,$A9)</f>
        <v/>
      </c>
      <c r="D9" s="17">
        <f>SUMIFS(VENTAS!$H$5:$H$504,VENTAS!$B$5:$B$504,$A9)</f>
        <v/>
      </c>
      <c r="E9" s="17">
        <f>SUMIFS(VENTAS!$I$5:$I$504,VENTAS!$B$5:$B$504,$A9)</f>
        <v/>
      </c>
      <c r="F9" s="17">
        <f>$D9-$E9</f>
        <v/>
      </c>
      <c r="G9" s="35">
        <f>IFERROR($F9/$D9,0)</f>
        <v/>
      </c>
      <c r="H9" s="17">
        <f>SUMIFS(GASTOS!$E$5:$E$304,GASTOS!$B$5:$B$304,$A9)-SUMIFS(GASTOS!$E$5:$E$304,GASTOS!$B$5:$B$304,$A9,GASTOS!$C$5:$C$304,"Insumos")-SUMIFS(GASTOS!$E$5:$E$304,GASTOS!$B$5:$B$304,$A9,GASTOS!$C$5:$C$304,"Descartables")</f>
        <v/>
      </c>
      <c r="I9" s="63">
        <f>$F9-$H9</f>
        <v/>
      </c>
    </row>
    <row r="10">
      <c r="A10" s="27" t="inlineStr">
        <is>
          <t>2027-02</t>
        </is>
      </c>
      <c r="B10" s="17">
        <f>SUMIFS(VENTAS!$F$5:$F$504,VENTAS!$B$5:$B$504,$A10)</f>
        <v/>
      </c>
      <c r="C10" s="17">
        <f>SUMIFS(VENTAS!$G$5:$G$504,VENTAS!$B$5:$B$504,$A10)</f>
        <v/>
      </c>
      <c r="D10" s="17">
        <f>SUMIFS(VENTAS!$H$5:$H$504,VENTAS!$B$5:$B$504,$A10)</f>
        <v/>
      </c>
      <c r="E10" s="17">
        <f>SUMIFS(VENTAS!$I$5:$I$504,VENTAS!$B$5:$B$504,$A10)</f>
        <v/>
      </c>
      <c r="F10" s="17">
        <f>$D10-$E10</f>
        <v/>
      </c>
      <c r="G10" s="35">
        <f>IFERROR($F10/$D10,0)</f>
        <v/>
      </c>
      <c r="H10" s="17">
        <f>SUMIFS(GASTOS!$E$5:$E$304,GASTOS!$B$5:$B$304,$A10)-SUMIFS(GASTOS!$E$5:$E$304,GASTOS!$B$5:$B$304,$A10,GASTOS!$C$5:$C$304,"Insumos")-SUMIFS(GASTOS!$E$5:$E$304,GASTOS!$B$5:$B$304,$A10,GASTOS!$C$5:$C$304,"Descartables")</f>
        <v/>
      </c>
      <c r="I10" s="63">
        <f>$F10-$H10</f>
        <v/>
      </c>
    </row>
    <row r="11">
      <c r="A11" s="27" t="inlineStr">
        <is>
          <t>2027-03</t>
        </is>
      </c>
      <c r="B11" s="17">
        <f>SUMIFS(VENTAS!$F$5:$F$504,VENTAS!$B$5:$B$504,$A11)</f>
        <v/>
      </c>
      <c r="C11" s="17">
        <f>SUMIFS(VENTAS!$G$5:$G$504,VENTAS!$B$5:$B$504,$A11)</f>
        <v/>
      </c>
      <c r="D11" s="17">
        <f>SUMIFS(VENTAS!$H$5:$H$504,VENTAS!$B$5:$B$504,$A11)</f>
        <v/>
      </c>
      <c r="E11" s="17">
        <f>SUMIFS(VENTAS!$I$5:$I$504,VENTAS!$B$5:$B$504,$A11)</f>
        <v/>
      </c>
      <c r="F11" s="17">
        <f>$D11-$E11</f>
        <v/>
      </c>
      <c r="G11" s="35">
        <f>IFERROR($F11/$D11,0)</f>
        <v/>
      </c>
      <c r="H11" s="17">
        <f>SUMIFS(GASTOS!$E$5:$E$304,GASTOS!$B$5:$B$304,$A11)-SUMIFS(GASTOS!$E$5:$E$304,GASTOS!$B$5:$B$304,$A11,GASTOS!$C$5:$C$304,"Insumos")-SUMIFS(GASTOS!$E$5:$E$304,GASTOS!$B$5:$B$304,$A11,GASTOS!$C$5:$C$304,"Descartables")</f>
        <v/>
      </c>
      <c r="I11" s="63">
        <f>$F11-$H11</f>
        <v/>
      </c>
    </row>
    <row r="12">
      <c r="A12" s="27" t="inlineStr">
        <is>
          <t>2027-04</t>
        </is>
      </c>
      <c r="B12" s="17">
        <f>SUMIFS(VENTAS!$F$5:$F$504,VENTAS!$B$5:$B$504,$A12)</f>
        <v/>
      </c>
      <c r="C12" s="17">
        <f>SUMIFS(VENTAS!$G$5:$G$504,VENTAS!$B$5:$B$504,$A12)</f>
        <v/>
      </c>
      <c r="D12" s="17">
        <f>SUMIFS(VENTAS!$H$5:$H$504,VENTAS!$B$5:$B$504,$A12)</f>
        <v/>
      </c>
      <c r="E12" s="17">
        <f>SUMIFS(VENTAS!$I$5:$I$504,VENTAS!$B$5:$B$504,$A12)</f>
        <v/>
      </c>
      <c r="F12" s="17">
        <f>$D12-$E12</f>
        <v/>
      </c>
      <c r="G12" s="35">
        <f>IFERROR($F12/$D12,0)</f>
        <v/>
      </c>
      <c r="H12" s="17">
        <f>SUMIFS(GASTOS!$E$5:$E$304,GASTOS!$B$5:$B$304,$A12)-SUMIFS(GASTOS!$E$5:$E$304,GASTOS!$B$5:$B$304,$A12,GASTOS!$C$5:$C$304,"Insumos")-SUMIFS(GASTOS!$E$5:$E$304,GASTOS!$B$5:$B$304,$A12,GASTOS!$C$5:$C$304,"Descartables")</f>
        <v/>
      </c>
      <c r="I12" s="63">
        <f>$F12-$H12</f>
        <v/>
      </c>
    </row>
    <row r="13">
      <c r="A13" s="27" t="inlineStr">
        <is>
          <t>2027-05</t>
        </is>
      </c>
      <c r="B13" s="17">
        <f>SUMIFS(VENTAS!$F$5:$F$504,VENTAS!$B$5:$B$504,$A13)</f>
        <v/>
      </c>
      <c r="C13" s="17">
        <f>SUMIFS(VENTAS!$G$5:$G$504,VENTAS!$B$5:$B$504,$A13)</f>
        <v/>
      </c>
      <c r="D13" s="17">
        <f>SUMIFS(VENTAS!$H$5:$H$504,VENTAS!$B$5:$B$504,$A13)</f>
        <v/>
      </c>
      <c r="E13" s="17">
        <f>SUMIFS(VENTAS!$I$5:$I$504,VENTAS!$B$5:$B$504,$A13)</f>
        <v/>
      </c>
      <c r="F13" s="17">
        <f>$D13-$E13</f>
        <v/>
      </c>
      <c r="G13" s="35">
        <f>IFERROR($F13/$D13,0)</f>
        <v/>
      </c>
      <c r="H13" s="17">
        <f>SUMIFS(GASTOS!$E$5:$E$304,GASTOS!$B$5:$B$304,$A13)-SUMIFS(GASTOS!$E$5:$E$304,GASTOS!$B$5:$B$304,$A13,GASTOS!$C$5:$C$304,"Insumos")-SUMIFS(GASTOS!$E$5:$E$304,GASTOS!$B$5:$B$304,$A13,GASTOS!$C$5:$C$304,"Descartables")</f>
        <v/>
      </c>
      <c r="I13" s="63">
        <f>$F13-$H13</f>
        <v/>
      </c>
    </row>
    <row r="14">
      <c r="A14" s="27" t="inlineStr">
        <is>
          <t>2027-06</t>
        </is>
      </c>
      <c r="B14" s="17">
        <f>SUMIFS(VENTAS!$F$5:$F$504,VENTAS!$B$5:$B$504,$A14)</f>
        <v/>
      </c>
      <c r="C14" s="17">
        <f>SUMIFS(VENTAS!$G$5:$G$504,VENTAS!$B$5:$B$504,$A14)</f>
        <v/>
      </c>
      <c r="D14" s="17">
        <f>SUMIFS(VENTAS!$H$5:$H$504,VENTAS!$B$5:$B$504,$A14)</f>
        <v/>
      </c>
      <c r="E14" s="17">
        <f>SUMIFS(VENTAS!$I$5:$I$504,VENTAS!$B$5:$B$504,$A14)</f>
        <v/>
      </c>
      <c r="F14" s="17">
        <f>$D14-$E14</f>
        <v/>
      </c>
      <c r="G14" s="35">
        <f>IFERROR($F14/$D14,0)</f>
        <v/>
      </c>
      <c r="H14" s="17">
        <f>SUMIFS(GASTOS!$E$5:$E$304,GASTOS!$B$5:$B$304,$A14)-SUMIFS(GASTOS!$E$5:$E$304,GASTOS!$B$5:$B$304,$A14,GASTOS!$C$5:$C$304,"Insumos")-SUMIFS(GASTOS!$E$5:$E$304,GASTOS!$B$5:$B$304,$A14,GASTOS!$C$5:$C$304,"Descartables")</f>
        <v/>
      </c>
      <c r="I14" s="63">
        <f>$F14-$H14</f>
        <v/>
      </c>
    </row>
    <row r="15">
      <c r="A15" s="27" t="inlineStr">
        <is>
          <t>2027-07</t>
        </is>
      </c>
      <c r="B15" s="17">
        <f>SUMIFS(VENTAS!$F$5:$F$504,VENTAS!$B$5:$B$504,$A15)</f>
        <v/>
      </c>
      <c r="C15" s="17">
        <f>SUMIFS(VENTAS!$G$5:$G$504,VENTAS!$B$5:$B$504,$A15)</f>
        <v/>
      </c>
      <c r="D15" s="17">
        <f>SUMIFS(VENTAS!$H$5:$H$504,VENTAS!$B$5:$B$504,$A15)</f>
        <v/>
      </c>
      <c r="E15" s="17">
        <f>SUMIFS(VENTAS!$I$5:$I$504,VENTAS!$B$5:$B$504,$A15)</f>
        <v/>
      </c>
      <c r="F15" s="17">
        <f>$D15-$E15</f>
        <v/>
      </c>
      <c r="G15" s="35">
        <f>IFERROR($F15/$D15,0)</f>
        <v/>
      </c>
      <c r="H15" s="17">
        <f>SUMIFS(GASTOS!$E$5:$E$304,GASTOS!$B$5:$B$304,$A15)-SUMIFS(GASTOS!$E$5:$E$304,GASTOS!$B$5:$B$304,$A15,GASTOS!$C$5:$C$304,"Insumos")-SUMIFS(GASTOS!$E$5:$E$304,GASTOS!$B$5:$B$304,$A15,GASTOS!$C$5:$C$304,"Descartables")</f>
        <v/>
      </c>
      <c r="I15" s="63">
        <f>$F15-$H15</f>
        <v/>
      </c>
    </row>
    <row r="16">
      <c r="A16" s="27" t="inlineStr">
        <is>
          <t>2027-08</t>
        </is>
      </c>
      <c r="B16" s="17">
        <f>SUMIFS(VENTAS!$F$5:$F$504,VENTAS!$B$5:$B$504,$A16)</f>
        <v/>
      </c>
      <c r="C16" s="17">
        <f>SUMIFS(VENTAS!$G$5:$G$504,VENTAS!$B$5:$B$504,$A16)</f>
        <v/>
      </c>
      <c r="D16" s="17">
        <f>SUMIFS(VENTAS!$H$5:$H$504,VENTAS!$B$5:$B$504,$A16)</f>
        <v/>
      </c>
      <c r="E16" s="17">
        <f>SUMIFS(VENTAS!$I$5:$I$504,VENTAS!$B$5:$B$504,$A16)</f>
        <v/>
      </c>
      <c r="F16" s="17">
        <f>$D16-$E16</f>
        <v/>
      </c>
      <c r="G16" s="35">
        <f>IFERROR($F16/$D16,0)</f>
        <v/>
      </c>
      <c r="H16" s="17">
        <f>SUMIFS(GASTOS!$E$5:$E$304,GASTOS!$B$5:$B$304,$A16)-SUMIFS(GASTOS!$E$5:$E$304,GASTOS!$B$5:$B$304,$A16,GASTOS!$C$5:$C$304,"Insumos")-SUMIFS(GASTOS!$E$5:$E$304,GASTOS!$B$5:$B$304,$A16,GASTOS!$C$5:$C$304,"Descartables")</f>
        <v/>
      </c>
      <c r="I16" s="63">
        <f>$F16-$H16</f>
        <v/>
      </c>
    </row>
    <row r="17">
      <c r="A17" s="64" t="inlineStr">
        <is>
          <t>TOTAL</t>
        </is>
      </c>
      <c r="B17" s="65">
        <f>SUM(B5:B16)</f>
        <v/>
      </c>
      <c r="C17" s="65">
        <f>SUM(C5:C16)</f>
        <v/>
      </c>
      <c r="D17" s="65">
        <f>SUM(D5:D16)</f>
        <v/>
      </c>
      <c r="E17" s="65">
        <f>SUM(E5:E16)</f>
        <v/>
      </c>
      <c r="F17" s="65">
        <f>SUM(F5:F16)</f>
        <v/>
      </c>
      <c r="G17" s="66">
        <f>IFERROR($F17/$D17,0)</f>
        <v/>
      </c>
      <c r="H17" s="65">
        <f>SUM(H5:H16)</f>
        <v/>
      </c>
      <c r="I17" s="65">
        <f>SUM(I5:I16)</f>
        <v/>
      </c>
    </row>
    <row r="19">
      <c r="A19" s="2" t="inlineStr">
        <is>
          <t>Gastos operativos = todos los GASTOS del mes MENOS insumos y descartables (esos ya estan en el costo de ventas via recetas).</t>
        </is>
      </c>
    </row>
  </sheetData>
  <conditionalFormatting sqref="I5:I16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D7D31"/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PROYECCIONES A 12 MESES</t>
        </is>
      </c>
    </row>
    <row r="2">
      <c r="A2" s="2" t="inlineStr">
        <is>
          <t>3 escenarios. Cambia los supuestos en AZUL y mira que pasa con la caja.</t>
        </is>
      </c>
    </row>
    <row r="4">
      <c r="B4" s="3" t="inlineStr">
        <is>
          <t>SUPUESTOS</t>
        </is>
      </c>
      <c r="C4" s="4" t="n"/>
      <c r="D4" s="4" t="n"/>
      <c r="E4" s="4" t="n"/>
    </row>
    <row r="5">
      <c r="B5" s="67" t="inlineStr">
        <is>
          <t>Escenario</t>
        </is>
      </c>
      <c r="C5" s="67" t="inlineStr">
        <is>
          <t>Ventas/dia mes 1</t>
        </is>
      </c>
      <c r="D5" s="67" t="inlineStr">
        <is>
          <t>Ticket promedio c/IVA</t>
        </is>
      </c>
      <c r="E5" s="67" t="inlineStr">
        <is>
          <t>Crecimiento mensual</t>
        </is>
      </c>
    </row>
    <row r="6">
      <c r="B6" s="10" t="inlineStr">
        <is>
          <t>Pesimista</t>
        </is>
      </c>
      <c r="C6" s="68" t="n">
        <v>15</v>
      </c>
      <c r="D6" s="69" t="n">
        <v>2</v>
      </c>
      <c r="E6" s="70" t="n">
        <v>0.02</v>
      </c>
    </row>
    <row r="7">
      <c r="B7" s="10" t="inlineStr">
        <is>
          <t>Realista</t>
        </is>
      </c>
      <c r="C7" s="68" t="n">
        <v>25</v>
      </c>
      <c r="D7" s="69" t="n">
        <v>2.2</v>
      </c>
      <c r="E7" s="70" t="n">
        <v>0.05</v>
      </c>
    </row>
    <row r="8">
      <c r="B8" s="10" t="inlineStr">
        <is>
          <t>Optimista</t>
        </is>
      </c>
      <c r="C8" s="68" t="n">
        <v>45</v>
      </c>
      <c r="D8" s="69" t="n">
        <v>2.5</v>
      </c>
      <c r="E8" s="70" t="n">
        <v>0.08</v>
      </c>
    </row>
    <row r="10">
      <c r="B10" s="6" t="inlineStr">
        <is>
          <t>Margen de contribucion % (viene de EQUILIBRIO)</t>
        </is>
      </c>
      <c r="C10" s="33">
        <f>IFERROR(EQUILIBRIO!$C$11,0.75)</f>
        <v/>
      </c>
      <c r="D10" s="2" t="inlineStr">
        <is>
          <t>Si aun no tienes ventas registradas usa 75% por defecto.</t>
        </is>
      </c>
    </row>
    <row r="11">
      <c r="B11" s="6" t="inlineStr">
        <is>
          <t>Gastos fijos / mes</t>
        </is>
      </c>
      <c r="C11" s="32">
        <f>GASTOS_FIJOS!$C$26</f>
        <v/>
      </c>
    </row>
    <row r="13">
      <c r="B13" s="3" t="inlineStr">
        <is>
          <t>ESCENARIO PESIMISTA</t>
        </is>
      </c>
      <c r="C13" s="4" t="n"/>
      <c r="D13" s="4" t="n"/>
      <c r="E13" s="4" t="n"/>
      <c r="F13" s="4" t="n"/>
      <c r="G13" s="4" t="n"/>
      <c r="H13" s="4" t="n"/>
    </row>
    <row r="14">
      <c r="B14" s="67" t="inlineStr">
        <is>
          <t>Mes</t>
        </is>
      </c>
      <c r="C14" s="67" t="inlineStr">
        <is>
          <t>Ventas/dia</t>
        </is>
      </c>
      <c r="D14" s="67" t="inlineStr">
        <is>
          <t>Venta bruta c/IVA</t>
        </is>
      </c>
      <c r="E14" s="67" t="inlineStr">
        <is>
          <t>Ingreso neto</t>
        </is>
      </c>
      <c r="F14" s="67" t="inlineStr">
        <is>
          <t>Margen contrib. $</t>
        </is>
      </c>
      <c r="G14" s="67" t="inlineStr">
        <is>
          <t>Gastos fijos</t>
        </is>
      </c>
      <c r="H14" s="67" t="inlineStr">
        <is>
          <t>UTILIDAD NETA</t>
        </is>
      </c>
      <c r="I14" s="67" t="inlineStr">
        <is>
          <t>Caja acumulada</t>
        </is>
      </c>
    </row>
    <row r="15">
      <c r="B15" s="27" t="inlineStr">
        <is>
          <t>Mes 1</t>
        </is>
      </c>
      <c r="C15" s="38">
        <f>$C$6</f>
        <v/>
      </c>
      <c r="D15" s="17">
        <f>$C15*INICIO!$C$7*$D$6</f>
        <v/>
      </c>
      <c r="E15" s="17">
        <f>$D15/(1+INICIO!$C$5)</f>
        <v/>
      </c>
      <c r="F15" s="17">
        <f>$E15*$C$10</f>
        <v/>
      </c>
      <c r="G15" s="17">
        <f>$C$11</f>
        <v/>
      </c>
      <c r="H15" s="30">
        <f>$F15-$G15</f>
        <v/>
      </c>
      <c r="I15" s="17">
        <f>$H15</f>
        <v/>
      </c>
    </row>
    <row r="16">
      <c r="B16" s="27" t="inlineStr">
        <is>
          <t>Mes 2</t>
        </is>
      </c>
      <c r="C16" s="38">
        <f>$C15*(1+$E$6)</f>
        <v/>
      </c>
      <c r="D16" s="17">
        <f>$C16*INICIO!$C$7*$D$6</f>
        <v/>
      </c>
      <c r="E16" s="17">
        <f>$D16/(1+INICIO!$C$5)</f>
        <v/>
      </c>
      <c r="F16" s="17">
        <f>$E16*$C$10</f>
        <v/>
      </c>
      <c r="G16" s="17">
        <f>$C$11</f>
        <v/>
      </c>
      <c r="H16" s="30">
        <f>$F16-$G16</f>
        <v/>
      </c>
      <c r="I16" s="17">
        <f>$I15+$H16</f>
        <v/>
      </c>
    </row>
    <row r="17">
      <c r="B17" s="27" t="inlineStr">
        <is>
          <t>Mes 3</t>
        </is>
      </c>
      <c r="C17" s="38">
        <f>$C16*(1+$E$6)</f>
        <v/>
      </c>
      <c r="D17" s="17">
        <f>$C17*INICIO!$C$7*$D$6</f>
        <v/>
      </c>
      <c r="E17" s="17">
        <f>$D17/(1+INICIO!$C$5)</f>
        <v/>
      </c>
      <c r="F17" s="17">
        <f>$E17*$C$10</f>
        <v/>
      </c>
      <c r="G17" s="17">
        <f>$C$11</f>
        <v/>
      </c>
      <c r="H17" s="30">
        <f>$F17-$G17</f>
        <v/>
      </c>
      <c r="I17" s="17">
        <f>$I16+$H17</f>
        <v/>
      </c>
    </row>
    <row r="18">
      <c r="B18" s="27" t="inlineStr">
        <is>
          <t>Mes 4</t>
        </is>
      </c>
      <c r="C18" s="38">
        <f>$C17*(1+$E$6)</f>
        <v/>
      </c>
      <c r="D18" s="17">
        <f>$C18*INICIO!$C$7*$D$6</f>
        <v/>
      </c>
      <c r="E18" s="17">
        <f>$D18/(1+INICIO!$C$5)</f>
        <v/>
      </c>
      <c r="F18" s="17">
        <f>$E18*$C$10</f>
        <v/>
      </c>
      <c r="G18" s="17">
        <f>$C$11</f>
        <v/>
      </c>
      <c r="H18" s="30">
        <f>$F18-$G18</f>
        <v/>
      </c>
      <c r="I18" s="17">
        <f>$I17+$H18</f>
        <v/>
      </c>
    </row>
    <row r="19">
      <c r="B19" s="27" t="inlineStr">
        <is>
          <t>Mes 5</t>
        </is>
      </c>
      <c r="C19" s="38">
        <f>$C18*(1+$E$6)</f>
        <v/>
      </c>
      <c r="D19" s="17">
        <f>$C19*INICIO!$C$7*$D$6</f>
        <v/>
      </c>
      <c r="E19" s="17">
        <f>$D19/(1+INICIO!$C$5)</f>
        <v/>
      </c>
      <c r="F19" s="17">
        <f>$E19*$C$10</f>
        <v/>
      </c>
      <c r="G19" s="17">
        <f>$C$11</f>
        <v/>
      </c>
      <c r="H19" s="30">
        <f>$F19-$G19</f>
        <v/>
      </c>
      <c r="I19" s="17">
        <f>$I18+$H19</f>
        <v/>
      </c>
    </row>
    <row r="20">
      <c r="B20" s="27" t="inlineStr">
        <is>
          <t>Mes 6</t>
        </is>
      </c>
      <c r="C20" s="38">
        <f>$C19*(1+$E$6)</f>
        <v/>
      </c>
      <c r="D20" s="17">
        <f>$C20*INICIO!$C$7*$D$6</f>
        <v/>
      </c>
      <c r="E20" s="17">
        <f>$D20/(1+INICIO!$C$5)</f>
        <v/>
      </c>
      <c r="F20" s="17">
        <f>$E20*$C$10</f>
        <v/>
      </c>
      <c r="G20" s="17">
        <f>$C$11</f>
        <v/>
      </c>
      <c r="H20" s="30">
        <f>$F20-$G20</f>
        <v/>
      </c>
      <c r="I20" s="17">
        <f>$I19+$H20</f>
        <v/>
      </c>
    </row>
    <row r="21">
      <c r="B21" s="27" t="inlineStr">
        <is>
          <t>Mes 7</t>
        </is>
      </c>
      <c r="C21" s="38">
        <f>$C20*(1+$E$6)</f>
        <v/>
      </c>
      <c r="D21" s="17">
        <f>$C21*INICIO!$C$7*$D$6</f>
        <v/>
      </c>
      <c r="E21" s="17">
        <f>$D21/(1+INICIO!$C$5)</f>
        <v/>
      </c>
      <c r="F21" s="17">
        <f>$E21*$C$10</f>
        <v/>
      </c>
      <c r="G21" s="17">
        <f>$C$11</f>
        <v/>
      </c>
      <c r="H21" s="30">
        <f>$F21-$G21</f>
        <v/>
      </c>
      <c r="I21" s="17">
        <f>$I20+$H21</f>
        <v/>
      </c>
    </row>
    <row r="22">
      <c r="B22" s="27" t="inlineStr">
        <is>
          <t>Mes 8</t>
        </is>
      </c>
      <c r="C22" s="38">
        <f>$C21*(1+$E$6)</f>
        <v/>
      </c>
      <c r="D22" s="17">
        <f>$C22*INICIO!$C$7*$D$6</f>
        <v/>
      </c>
      <c r="E22" s="17">
        <f>$D22/(1+INICIO!$C$5)</f>
        <v/>
      </c>
      <c r="F22" s="17">
        <f>$E22*$C$10</f>
        <v/>
      </c>
      <c r="G22" s="17">
        <f>$C$11</f>
        <v/>
      </c>
      <c r="H22" s="30">
        <f>$F22-$G22</f>
        <v/>
      </c>
      <c r="I22" s="17">
        <f>$I21+$H22</f>
        <v/>
      </c>
    </row>
    <row r="23">
      <c r="B23" s="27" t="inlineStr">
        <is>
          <t>Mes 9</t>
        </is>
      </c>
      <c r="C23" s="38">
        <f>$C22*(1+$E$6)</f>
        <v/>
      </c>
      <c r="D23" s="17">
        <f>$C23*INICIO!$C$7*$D$6</f>
        <v/>
      </c>
      <c r="E23" s="17">
        <f>$D23/(1+INICIO!$C$5)</f>
        <v/>
      </c>
      <c r="F23" s="17">
        <f>$E23*$C$10</f>
        <v/>
      </c>
      <c r="G23" s="17">
        <f>$C$11</f>
        <v/>
      </c>
      <c r="H23" s="30">
        <f>$F23-$G23</f>
        <v/>
      </c>
      <c r="I23" s="17">
        <f>$I22+$H23</f>
        <v/>
      </c>
    </row>
    <row r="24">
      <c r="B24" s="27" t="inlineStr">
        <is>
          <t>Mes 10</t>
        </is>
      </c>
      <c r="C24" s="38">
        <f>$C23*(1+$E$6)</f>
        <v/>
      </c>
      <c r="D24" s="17">
        <f>$C24*INICIO!$C$7*$D$6</f>
        <v/>
      </c>
      <c r="E24" s="17">
        <f>$D24/(1+INICIO!$C$5)</f>
        <v/>
      </c>
      <c r="F24" s="17">
        <f>$E24*$C$10</f>
        <v/>
      </c>
      <c r="G24" s="17">
        <f>$C$11</f>
        <v/>
      </c>
      <c r="H24" s="30">
        <f>$F24-$G24</f>
        <v/>
      </c>
      <c r="I24" s="17">
        <f>$I23+$H24</f>
        <v/>
      </c>
    </row>
    <row r="25">
      <c r="B25" s="27" t="inlineStr">
        <is>
          <t>Mes 11</t>
        </is>
      </c>
      <c r="C25" s="38">
        <f>$C24*(1+$E$6)</f>
        <v/>
      </c>
      <c r="D25" s="17">
        <f>$C25*INICIO!$C$7*$D$6</f>
        <v/>
      </c>
      <c r="E25" s="17">
        <f>$D25/(1+INICIO!$C$5)</f>
        <v/>
      </c>
      <c r="F25" s="17">
        <f>$E25*$C$10</f>
        <v/>
      </c>
      <c r="G25" s="17">
        <f>$C$11</f>
        <v/>
      </c>
      <c r="H25" s="30">
        <f>$F25-$G25</f>
        <v/>
      </c>
      <c r="I25" s="17">
        <f>$I24+$H25</f>
        <v/>
      </c>
    </row>
    <row r="26">
      <c r="B26" s="27" t="inlineStr">
        <is>
          <t>Mes 12</t>
        </is>
      </c>
      <c r="C26" s="38">
        <f>$C25*(1+$E$6)</f>
        <v/>
      </c>
      <c r="D26" s="17">
        <f>$C26*INICIO!$C$7*$D$6</f>
        <v/>
      </c>
      <c r="E26" s="17">
        <f>$D26/(1+INICIO!$C$5)</f>
        <v/>
      </c>
      <c r="F26" s="17">
        <f>$E26*$C$10</f>
        <v/>
      </c>
      <c r="G26" s="17">
        <f>$C$11</f>
        <v/>
      </c>
      <c r="H26" s="30">
        <f>$F26-$G26</f>
        <v/>
      </c>
      <c r="I26" s="17">
        <f>$I25+$H26</f>
        <v/>
      </c>
    </row>
    <row r="29">
      <c r="B29" s="3" t="inlineStr">
        <is>
          <t>ESCENARIO REALISTA</t>
        </is>
      </c>
      <c r="C29" s="4" t="n"/>
      <c r="D29" s="4" t="n"/>
      <c r="E29" s="4" t="n"/>
      <c r="F29" s="4" t="n"/>
      <c r="G29" s="4" t="n"/>
      <c r="H29" s="4" t="n"/>
    </row>
    <row r="30">
      <c r="B30" s="67" t="inlineStr">
        <is>
          <t>Mes</t>
        </is>
      </c>
      <c r="C30" s="67" t="inlineStr">
        <is>
          <t>Ventas/dia</t>
        </is>
      </c>
      <c r="D30" s="67" t="inlineStr">
        <is>
          <t>Venta bruta c/IVA</t>
        </is>
      </c>
      <c r="E30" s="67" t="inlineStr">
        <is>
          <t>Ingreso neto</t>
        </is>
      </c>
      <c r="F30" s="67" t="inlineStr">
        <is>
          <t>Margen contrib. $</t>
        </is>
      </c>
      <c r="G30" s="67" t="inlineStr">
        <is>
          <t>Gastos fijos</t>
        </is>
      </c>
      <c r="H30" s="67" t="inlineStr">
        <is>
          <t>UTILIDAD NETA</t>
        </is>
      </c>
      <c r="I30" s="67" t="inlineStr">
        <is>
          <t>Caja acumulada</t>
        </is>
      </c>
    </row>
    <row r="31">
      <c r="B31" s="27" t="inlineStr">
        <is>
          <t>Mes 1</t>
        </is>
      </c>
      <c r="C31" s="38">
        <f>$C$7</f>
        <v/>
      </c>
      <c r="D31" s="17">
        <f>$C31*INICIO!$C$7*$D$7</f>
        <v/>
      </c>
      <c r="E31" s="17">
        <f>$D31/(1+INICIO!$C$5)</f>
        <v/>
      </c>
      <c r="F31" s="17">
        <f>$E31*$C$10</f>
        <v/>
      </c>
      <c r="G31" s="17">
        <f>$C$11</f>
        <v/>
      </c>
      <c r="H31" s="30">
        <f>$F31-$G31</f>
        <v/>
      </c>
      <c r="I31" s="17">
        <f>$H31</f>
        <v/>
      </c>
    </row>
    <row r="32">
      <c r="B32" s="27" t="inlineStr">
        <is>
          <t>Mes 2</t>
        </is>
      </c>
      <c r="C32" s="38">
        <f>$C31*(1+$E$7)</f>
        <v/>
      </c>
      <c r="D32" s="17">
        <f>$C32*INICIO!$C$7*$D$7</f>
        <v/>
      </c>
      <c r="E32" s="17">
        <f>$D32/(1+INICIO!$C$5)</f>
        <v/>
      </c>
      <c r="F32" s="17">
        <f>$E32*$C$10</f>
        <v/>
      </c>
      <c r="G32" s="17">
        <f>$C$11</f>
        <v/>
      </c>
      <c r="H32" s="30">
        <f>$F32-$G32</f>
        <v/>
      </c>
      <c r="I32" s="17">
        <f>$I31+$H32</f>
        <v/>
      </c>
    </row>
    <row r="33">
      <c r="B33" s="27" t="inlineStr">
        <is>
          <t>Mes 3</t>
        </is>
      </c>
      <c r="C33" s="38">
        <f>$C32*(1+$E$7)</f>
        <v/>
      </c>
      <c r="D33" s="17">
        <f>$C33*INICIO!$C$7*$D$7</f>
        <v/>
      </c>
      <c r="E33" s="17">
        <f>$D33/(1+INICIO!$C$5)</f>
        <v/>
      </c>
      <c r="F33" s="17">
        <f>$E33*$C$10</f>
        <v/>
      </c>
      <c r="G33" s="17">
        <f>$C$11</f>
        <v/>
      </c>
      <c r="H33" s="30">
        <f>$F33-$G33</f>
        <v/>
      </c>
      <c r="I33" s="17">
        <f>$I32+$H33</f>
        <v/>
      </c>
    </row>
    <row r="34">
      <c r="B34" s="27" t="inlineStr">
        <is>
          <t>Mes 4</t>
        </is>
      </c>
      <c r="C34" s="38">
        <f>$C33*(1+$E$7)</f>
        <v/>
      </c>
      <c r="D34" s="17">
        <f>$C34*INICIO!$C$7*$D$7</f>
        <v/>
      </c>
      <c r="E34" s="17">
        <f>$D34/(1+INICIO!$C$5)</f>
        <v/>
      </c>
      <c r="F34" s="17">
        <f>$E34*$C$10</f>
        <v/>
      </c>
      <c r="G34" s="17">
        <f>$C$11</f>
        <v/>
      </c>
      <c r="H34" s="30">
        <f>$F34-$G34</f>
        <v/>
      </c>
      <c r="I34" s="17">
        <f>$I33+$H34</f>
        <v/>
      </c>
    </row>
    <row r="35">
      <c r="B35" s="27" t="inlineStr">
        <is>
          <t>Mes 5</t>
        </is>
      </c>
      <c r="C35" s="38">
        <f>$C34*(1+$E$7)</f>
        <v/>
      </c>
      <c r="D35" s="17">
        <f>$C35*INICIO!$C$7*$D$7</f>
        <v/>
      </c>
      <c r="E35" s="17">
        <f>$D35/(1+INICIO!$C$5)</f>
        <v/>
      </c>
      <c r="F35" s="17">
        <f>$E35*$C$10</f>
        <v/>
      </c>
      <c r="G35" s="17">
        <f>$C$11</f>
        <v/>
      </c>
      <c r="H35" s="30">
        <f>$F35-$G35</f>
        <v/>
      </c>
      <c r="I35" s="17">
        <f>$I34+$H35</f>
        <v/>
      </c>
    </row>
    <row r="36">
      <c r="B36" s="27" t="inlineStr">
        <is>
          <t>Mes 6</t>
        </is>
      </c>
      <c r="C36" s="38">
        <f>$C35*(1+$E$7)</f>
        <v/>
      </c>
      <c r="D36" s="17">
        <f>$C36*INICIO!$C$7*$D$7</f>
        <v/>
      </c>
      <c r="E36" s="17">
        <f>$D36/(1+INICIO!$C$5)</f>
        <v/>
      </c>
      <c r="F36" s="17">
        <f>$E36*$C$10</f>
        <v/>
      </c>
      <c r="G36" s="17">
        <f>$C$11</f>
        <v/>
      </c>
      <c r="H36" s="30">
        <f>$F36-$G36</f>
        <v/>
      </c>
      <c r="I36" s="17">
        <f>$I35+$H36</f>
        <v/>
      </c>
    </row>
    <row r="37">
      <c r="B37" s="27" t="inlineStr">
        <is>
          <t>Mes 7</t>
        </is>
      </c>
      <c r="C37" s="38">
        <f>$C36*(1+$E$7)</f>
        <v/>
      </c>
      <c r="D37" s="17">
        <f>$C37*INICIO!$C$7*$D$7</f>
        <v/>
      </c>
      <c r="E37" s="17">
        <f>$D37/(1+INICIO!$C$5)</f>
        <v/>
      </c>
      <c r="F37" s="17">
        <f>$E37*$C$10</f>
        <v/>
      </c>
      <c r="G37" s="17">
        <f>$C$11</f>
        <v/>
      </c>
      <c r="H37" s="30">
        <f>$F37-$G37</f>
        <v/>
      </c>
      <c r="I37" s="17">
        <f>$I36+$H37</f>
        <v/>
      </c>
    </row>
    <row r="38">
      <c r="B38" s="27" t="inlineStr">
        <is>
          <t>Mes 8</t>
        </is>
      </c>
      <c r="C38" s="38">
        <f>$C37*(1+$E$7)</f>
        <v/>
      </c>
      <c r="D38" s="17">
        <f>$C38*INICIO!$C$7*$D$7</f>
        <v/>
      </c>
      <c r="E38" s="17">
        <f>$D38/(1+INICIO!$C$5)</f>
        <v/>
      </c>
      <c r="F38" s="17">
        <f>$E38*$C$10</f>
        <v/>
      </c>
      <c r="G38" s="17">
        <f>$C$11</f>
        <v/>
      </c>
      <c r="H38" s="30">
        <f>$F38-$G38</f>
        <v/>
      </c>
      <c r="I38" s="17">
        <f>$I37+$H38</f>
        <v/>
      </c>
    </row>
    <row r="39">
      <c r="B39" s="27" t="inlineStr">
        <is>
          <t>Mes 9</t>
        </is>
      </c>
      <c r="C39" s="38">
        <f>$C38*(1+$E$7)</f>
        <v/>
      </c>
      <c r="D39" s="17">
        <f>$C39*INICIO!$C$7*$D$7</f>
        <v/>
      </c>
      <c r="E39" s="17">
        <f>$D39/(1+INICIO!$C$5)</f>
        <v/>
      </c>
      <c r="F39" s="17">
        <f>$E39*$C$10</f>
        <v/>
      </c>
      <c r="G39" s="17">
        <f>$C$11</f>
        <v/>
      </c>
      <c r="H39" s="30">
        <f>$F39-$G39</f>
        <v/>
      </c>
      <c r="I39" s="17">
        <f>$I38+$H39</f>
        <v/>
      </c>
    </row>
    <row r="40">
      <c r="B40" s="27" t="inlineStr">
        <is>
          <t>Mes 10</t>
        </is>
      </c>
      <c r="C40" s="38">
        <f>$C39*(1+$E$7)</f>
        <v/>
      </c>
      <c r="D40" s="17">
        <f>$C40*INICIO!$C$7*$D$7</f>
        <v/>
      </c>
      <c r="E40" s="17">
        <f>$D40/(1+INICIO!$C$5)</f>
        <v/>
      </c>
      <c r="F40" s="17">
        <f>$E40*$C$10</f>
        <v/>
      </c>
      <c r="G40" s="17">
        <f>$C$11</f>
        <v/>
      </c>
      <c r="H40" s="30">
        <f>$F40-$G40</f>
        <v/>
      </c>
      <c r="I40" s="17">
        <f>$I39+$H40</f>
        <v/>
      </c>
    </row>
    <row r="41">
      <c r="B41" s="27" t="inlineStr">
        <is>
          <t>Mes 11</t>
        </is>
      </c>
      <c r="C41" s="38">
        <f>$C40*(1+$E$7)</f>
        <v/>
      </c>
      <c r="D41" s="17">
        <f>$C41*INICIO!$C$7*$D$7</f>
        <v/>
      </c>
      <c r="E41" s="17">
        <f>$D41/(1+INICIO!$C$5)</f>
        <v/>
      </c>
      <c r="F41" s="17">
        <f>$E41*$C$10</f>
        <v/>
      </c>
      <c r="G41" s="17">
        <f>$C$11</f>
        <v/>
      </c>
      <c r="H41" s="30">
        <f>$F41-$G41</f>
        <v/>
      </c>
      <c r="I41" s="17">
        <f>$I40+$H41</f>
        <v/>
      </c>
    </row>
    <row r="42">
      <c r="B42" s="27" t="inlineStr">
        <is>
          <t>Mes 12</t>
        </is>
      </c>
      <c r="C42" s="38">
        <f>$C41*(1+$E$7)</f>
        <v/>
      </c>
      <c r="D42" s="17">
        <f>$C42*INICIO!$C$7*$D$7</f>
        <v/>
      </c>
      <c r="E42" s="17">
        <f>$D42/(1+INICIO!$C$5)</f>
        <v/>
      </c>
      <c r="F42" s="17">
        <f>$E42*$C$10</f>
        <v/>
      </c>
      <c r="G42" s="17">
        <f>$C$11</f>
        <v/>
      </c>
      <c r="H42" s="30">
        <f>$F42-$G42</f>
        <v/>
      </c>
      <c r="I42" s="17">
        <f>$I41+$H42</f>
        <v/>
      </c>
    </row>
    <row r="45">
      <c r="B45" s="3" t="inlineStr">
        <is>
          <t>ESCENARIO OPTIMISTA</t>
        </is>
      </c>
      <c r="C45" s="4" t="n"/>
      <c r="D45" s="4" t="n"/>
      <c r="E45" s="4" t="n"/>
      <c r="F45" s="4" t="n"/>
      <c r="G45" s="4" t="n"/>
      <c r="H45" s="4" t="n"/>
    </row>
    <row r="46">
      <c r="B46" s="67" t="inlineStr">
        <is>
          <t>Mes</t>
        </is>
      </c>
      <c r="C46" s="67" t="inlineStr">
        <is>
          <t>Ventas/dia</t>
        </is>
      </c>
      <c r="D46" s="67" t="inlineStr">
        <is>
          <t>Venta bruta c/IVA</t>
        </is>
      </c>
      <c r="E46" s="67" t="inlineStr">
        <is>
          <t>Ingreso neto</t>
        </is>
      </c>
      <c r="F46" s="67" t="inlineStr">
        <is>
          <t>Margen contrib. $</t>
        </is>
      </c>
      <c r="G46" s="67" t="inlineStr">
        <is>
          <t>Gastos fijos</t>
        </is>
      </c>
      <c r="H46" s="67" t="inlineStr">
        <is>
          <t>UTILIDAD NETA</t>
        </is>
      </c>
      <c r="I46" s="67" t="inlineStr">
        <is>
          <t>Caja acumulada</t>
        </is>
      </c>
    </row>
    <row r="47">
      <c r="B47" s="27" t="inlineStr">
        <is>
          <t>Mes 1</t>
        </is>
      </c>
      <c r="C47" s="38">
        <f>$C$8</f>
        <v/>
      </c>
      <c r="D47" s="17">
        <f>$C47*INICIO!$C$7*$D$8</f>
        <v/>
      </c>
      <c r="E47" s="17">
        <f>$D47/(1+INICIO!$C$5)</f>
        <v/>
      </c>
      <c r="F47" s="17">
        <f>$E47*$C$10</f>
        <v/>
      </c>
      <c r="G47" s="17">
        <f>$C$11</f>
        <v/>
      </c>
      <c r="H47" s="30">
        <f>$F47-$G47</f>
        <v/>
      </c>
      <c r="I47" s="17">
        <f>$H47</f>
        <v/>
      </c>
    </row>
    <row r="48">
      <c r="B48" s="27" t="inlineStr">
        <is>
          <t>Mes 2</t>
        </is>
      </c>
      <c r="C48" s="38">
        <f>$C47*(1+$E$8)</f>
        <v/>
      </c>
      <c r="D48" s="17">
        <f>$C48*INICIO!$C$7*$D$8</f>
        <v/>
      </c>
      <c r="E48" s="17">
        <f>$D48/(1+INICIO!$C$5)</f>
        <v/>
      </c>
      <c r="F48" s="17">
        <f>$E48*$C$10</f>
        <v/>
      </c>
      <c r="G48" s="17">
        <f>$C$11</f>
        <v/>
      </c>
      <c r="H48" s="30">
        <f>$F48-$G48</f>
        <v/>
      </c>
      <c r="I48" s="17">
        <f>$I47+$H48</f>
        <v/>
      </c>
    </row>
    <row r="49">
      <c r="B49" s="27" t="inlineStr">
        <is>
          <t>Mes 3</t>
        </is>
      </c>
      <c r="C49" s="38">
        <f>$C48*(1+$E$8)</f>
        <v/>
      </c>
      <c r="D49" s="17">
        <f>$C49*INICIO!$C$7*$D$8</f>
        <v/>
      </c>
      <c r="E49" s="17">
        <f>$D49/(1+INICIO!$C$5)</f>
        <v/>
      </c>
      <c r="F49" s="17">
        <f>$E49*$C$10</f>
        <v/>
      </c>
      <c r="G49" s="17">
        <f>$C$11</f>
        <v/>
      </c>
      <c r="H49" s="30">
        <f>$F49-$G49</f>
        <v/>
      </c>
      <c r="I49" s="17">
        <f>$I48+$H49</f>
        <v/>
      </c>
    </row>
    <row r="50">
      <c r="B50" s="27" t="inlineStr">
        <is>
          <t>Mes 4</t>
        </is>
      </c>
      <c r="C50" s="38">
        <f>$C49*(1+$E$8)</f>
        <v/>
      </c>
      <c r="D50" s="17">
        <f>$C50*INICIO!$C$7*$D$8</f>
        <v/>
      </c>
      <c r="E50" s="17">
        <f>$D50/(1+INICIO!$C$5)</f>
        <v/>
      </c>
      <c r="F50" s="17">
        <f>$E50*$C$10</f>
        <v/>
      </c>
      <c r="G50" s="17">
        <f>$C$11</f>
        <v/>
      </c>
      <c r="H50" s="30">
        <f>$F50-$G50</f>
        <v/>
      </c>
      <c r="I50" s="17">
        <f>$I49+$H50</f>
        <v/>
      </c>
    </row>
    <row r="51">
      <c r="B51" s="27" t="inlineStr">
        <is>
          <t>Mes 5</t>
        </is>
      </c>
      <c r="C51" s="38">
        <f>$C50*(1+$E$8)</f>
        <v/>
      </c>
      <c r="D51" s="17">
        <f>$C51*INICIO!$C$7*$D$8</f>
        <v/>
      </c>
      <c r="E51" s="17">
        <f>$D51/(1+INICIO!$C$5)</f>
        <v/>
      </c>
      <c r="F51" s="17">
        <f>$E51*$C$10</f>
        <v/>
      </c>
      <c r="G51" s="17">
        <f>$C$11</f>
        <v/>
      </c>
      <c r="H51" s="30">
        <f>$F51-$G51</f>
        <v/>
      </c>
      <c r="I51" s="17">
        <f>$I50+$H51</f>
        <v/>
      </c>
    </row>
    <row r="52">
      <c r="B52" s="27" t="inlineStr">
        <is>
          <t>Mes 6</t>
        </is>
      </c>
      <c r="C52" s="38">
        <f>$C51*(1+$E$8)</f>
        <v/>
      </c>
      <c r="D52" s="17">
        <f>$C52*INICIO!$C$7*$D$8</f>
        <v/>
      </c>
      <c r="E52" s="17">
        <f>$D52/(1+INICIO!$C$5)</f>
        <v/>
      </c>
      <c r="F52" s="17">
        <f>$E52*$C$10</f>
        <v/>
      </c>
      <c r="G52" s="17">
        <f>$C$11</f>
        <v/>
      </c>
      <c r="H52" s="30">
        <f>$F52-$G52</f>
        <v/>
      </c>
      <c r="I52" s="17">
        <f>$I51+$H52</f>
        <v/>
      </c>
    </row>
    <row r="53">
      <c r="B53" s="27" t="inlineStr">
        <is>
          <t>Mes 7</t>
        </is>
      </c>
      <c r="C53" s="38">
        <f>$C52*(1+$E$8)</f>
        <v/>
      </c>
      <c r="D53" s="17">
        <f>$C53*INICIO!$C$7*$D$8</f>
        <v/>
      </c>
      <c r="E53" s="17">
        <f>$D53/(1+INICIO!$C$5)</f>
        <v/>
      </c>
      <c r="F53" s="17">
        <f>$E53*$C$10</f>
        <v/>
      </c>
      <c r="G53" s="17">
        <f>$C$11</f>
        <v/>
      </c>
      <c r="H53" s="30">
        <f>$F53-$G53</f>
        <v/>
      </c>
      <c r="I53" s="17">
        <f>$I52+$H53</f>
        <v/>
      </c>
    </row>
    <row r="54">
      <c r="B54" s="27" t="inlineStr">
        <is>
          <t>Mes 8</t>
        </is>
      </c>
      <c r="C54" s="38">
        <f>$C53*(1+$E$8)</f>
        <v/>
      </c>
      <c r="D54" s="17">
        <f>$C54*INICIO!$C$7*$D$8</f>
        <v/>
      </c>
      <c r="E54" s="17">
        <f>$D54/(1+INICIO!$C$5)</f>
        <v/>
      </c>
      <c r="F54" s="17">
        <f>$E54*$C$10</f>
        <v/>
      </c>
      <c r="G54" s="17">
        <f>$C$11</f>
        <v/>
      </c>
      <c r="H54" s="30">
        <f>$F54-$G54</f>
        <v/>
      </c>
      <c r="I54" s="17">
        <f>$I53+$H54</f>
        <v/>
      </c>
    </row>
    <row r="55">
      <c r="B55" s="27" t="inlineStr">
        <is>
          <t>Mes 9</t>
        </is>
      </c>
      <c r="C55" s="38">
        <f>$C54*(1+$E$8)</f>
        <v/>
      </c>
      <c r="D55" s="17">
        <f>$C55*INICIO!$C$7*$D$8</f>
        <v/>
      </c>
      <c r="E55" s="17">
        <f>$D55/(1+INICIO!$C$5)</f>
        <v/>
      </c>
      <c r="F55" s="17">
        <f>$E55*$C$10</f>
        <v/>
      </c>
      <c r="G55" s="17">
        <f>$C$11</f>
        <v/>
      </c>
      <c r="H55" s="30">
        <f>$F55-$G55</f>
        <v/>
      </c>
      <c r="I55" s="17">
        <f>$I54+$H55</f>
        <v/>
      </c>
    </row>
    <row r="56">
      <c r="B56" s="27" t="inlineStr">
        <is>
          <t>Mes 10</t>
        </is>
      </c>
      <c r="C56" s="38">
        <f>$C55*(1+$E$8)</f>
        <v/>
      </c>
      <c r="D56" s="17">
        <f>$C56*INICIO!$C$7*$D$8</f>
        <v/>
      </c>
      <c r="E56" s="17">
        <f>$D56/(1+INICIO!$C$5)</f>
        <v/>
      </c>
      <c r="F56" s="17">
        <f>$E56*$C$10</f>
        <v/>
      </c>
      <c r="G56" s="17">
        <f>$C$11</f>
        <v/>
      </c>
      <c r="H56" s="30">
        <f>$F56-$G56</f>
        <v/>
      </c>
      <c r="I56" s="17">
        <f>$I55+$H56</f>
        <v/>
      </c>
    </row>
    <row r="57">
      <c r="B57" s="27" t="inlineStr">
        <is>
          <t>Mes 11</t>
        </is>
      </c>
      <c r="C57" s="38">
        <f>$C56*(1+$E$8)</f>
        <v/>
      </c>
      <c r="D57" s="17">
        <f>$C57*INICIO!$C$7*$D$8</f>
        <v/>
      </c>
      <c r="E57" s="17">
        <f>$D57/(1+INICIO!$C$5)</f>
        <v/>
      </c>
      <c r="F57" s="17">
        <f>$E57*$C$10</f>
        <v/>
      </c>
      <c r="G57" s="17">
        <f>$C$11</f>
        <v/>
      </c>
      <c r="H57" s="30">
        <f>$F57-$G57</f>
        <v/>
      </c>
      <c r="I57" s="17">
        <f>$I56+$H57</f>
        <v/>
      </c>
    </row>
    <row r="58">
      <c r="B58" s="27" t="inlineStr">
        <is>
          <t>Mes 12</t>
        </is>
      </c>
      <c r="C58" s="38">
        <f>$C57*(1+$E$8)</f>
        <v/>
      </c>
      <c r="D58" s="17">
        <f>$C58*INICIO!$C$7*$D$8</f>
        <v/>
      </c>
      <c r="E58" s="17">
        <f>$D58/(1+INICIO!$C$5)</f>
        <v/>
      </c>
      <c r="F58" s="17">
        <f>$E58*$C$10</f>
        <v/>
      </c>
      <c r="G58" s="17">
        <f>$C$11</f>
        <v/>
      </c>
      <c r="H58" s="30">
        <f>$F58-$G58</f>
        <v/>
      </c>
      <c r="I58" s="17">
        <f>$I57+$H58</f>
        <v/>
      </c>
    </row>
    <row r="61">
      <c r="B61" s="2" t="inlineStr">
        <is>
          <t>La columna 'Caja acumulada' es la que importa: te dice en que mes dejas de poner plata de tu bolsillo.</t>
        </is>
      </c>
    </row>
  </sheetData>
  <conditionalFormatting sqref="H15:I26">
    <cfRule type="cellIs" priority="1" operator="lessThan" dxfId="3">
      <formula>0</formula>
    </cfRule>
  </conditionalFormatting>
  <conditionalFormatting sqref="H31:I42">
    <cfRule type="cellIs" priority="2" operator="lessThan" dxfId="3">
      <formula>0</formula>
    </cfRule>
  </conditionalFormatting>
  <conditionalFormatting sqref="H47:I58">
    <cfRule type="cellIs" priority="3" operator="lessThan" dxfId="3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2026-09-08T02:17:46Z</dcterms:created>
  <dcterms:modified xsi:type="dcterms:W3CDTF">2026-09-08T02:17:49Z</dcterms:modified>
</cp:coreProperties>
</file>