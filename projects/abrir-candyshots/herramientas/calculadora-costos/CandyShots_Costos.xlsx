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SUMOS" sheetId="2" state="visible" r:id="rId2"/>
    <sheet name="RECETAS" sheetId="3" state="visible" r:id="rId3"/>
    <sheet name="MEN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00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F05A28"/>
      <sz val="18"/>
    </font>
    <font>
      <i val="1"/>
      <color rgb="00666666"/>
      <sz val="11"/>
    </font>
    <font>
      <sz val="11"/>
    </font>
    <font>
      <b val="1"/>
      <color rgb="00F05A28"/>
      <sz val="12"/>
    </font>
    <font>
      <b val="1"/>
      <color rgb="00F05A28"/>
      <sz val="14"/>
    </font>
    <font>
      <i val="1"/>
      <color rgb="00666666"/>
      <sz val="10"/>
    </font>
    <font>
      <b val="1"/>
      <color rgb="00FFFFFF"/>
      <sz val="11"/>
    </font>
    <font>
      <b val="1"/>
      <color rgb="00F05A28"/>
      <sz val="11"/>
    </font>
    <font>
      <b val="1"/>
    </font>
    <font>
      <color rgb="00777777"/>
      <sz val="9"/>
    </font>
    <font>
      <b val="1"/>
      <sz val="11"/>
    </font>
    <font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FFF4EE"/>
      </patternFill>
    </fill>
    <fill>
      <patternFill patternType="solid">
        <fgColor rgb="00F05A28"/>
      </patternFill>
    </fill>
    <fill>
      <patternFill patternType="solid">
        <fgColor rgb="00F7F7F7"/>
      </patternFill>
    </fill>
    <fill>
      <patternFill patternType="solid">
        <fgColor rgb="00FFFDE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0" fillId="0" borderId="1" pivotButton="0" quotePrefix="0" xfId="0"/>
    <xf numFmtId="165" fontId="9" fillId="4" borderId="1" pivotButton="0" quotePrefix="0" xfId="0"/>
    <xf numFmtId="0" fontId="10" fillId="0" borderId="1" pivotButton="0" quotePrefix="0" xfId="0"/>
    <xf numFmtId="0" fontId="11" fillId="0" borderId="1" pivotButton="0" quotePrefix="0" xfId="0"/>
    <xf numFmtId="164" fontId="0" fillId="0" borderId="1" pivotButton="0" quotePrefix="0" xfId="0"/>
    <xf numFmtId="0" fontId="11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0" fillId="0" borderId="0" pivotButton="0" quotePrefix="0" xfId="0"/>
    <xf numFmtId="0" fontId="12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DD2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F57F17"/>
      </font>
      <fill>
        <patternFill patternType="solid">
          <fgColor rgb="00FFF9C4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CANDYSHOTS — CALCULADORA DE COSTOS</t>
        </is>
      </c>
    </row>
    <row r="3">
      <c r="B3" s="2" t="inlineStr">
        <is>
          <t>Agosto 2026 · Todo se recalcula solo. Tú solo tocas la columna de precios.</t>
        </is>
      </c>
    </row>
    <row r="5">
      <c r="B5" s="3" t="inlineStr"/>
    </row>
    <row r="6">
      <c r="B6" s="4" t="inlineStr">
        <is>
          <t>CÓMO SE USA</t>
        </is>
      </c>
    </row>
    <row r="7">
      <c r="B7" s="3" t="inlineStr">
        <is>
          <t>1. Andá a la hoja INSUMOS. Es la lista de todo lo que se compra.</t>
        </is>
      </c>
    </row>
    <row r="8">
      <c r="B8" s="3" t="inlineStr">
        <is>
          <t>2. En la columna 'Precio de compra' pone lo que TE COSTÓ de verdad, con la factura en la mano.</t>
        </is>
      </c>
    </row>
    <row r="9">
      <c r="B9" s="3" t="inlineStr">
        <is>
          <t>3. En 'Cantidad que rinde' pone cuánto trae esa compra (gramos, ml, unidades).</t>
        </is>
      </c>
    </row>
    <row r="10">
      <c r="B10" s="3" t="inlineStr">
        <is>
          <t xml:space="preserve">   Ejemplo: comprás una libra de carne a $2.00 → Precio 2.00 · Cantidad 453.6 · Unidad g</t>
        </is>
      </c>
    </row>
    <row r="11">
      <c r="B11" s="3" t="inlineStr">
        <is>
          <t>4. Listo. Las hojas RECETAS y MENÚ se recalculan solas.</t>
        </is>
      </c>
    </row>
    <row r="12">
      <c r="B12" s="3" t="inlineStr"/>
    </row>
    <row r="13">
      <c r="B13" s="4" t="inlineStr">
        <is>
          <t>LAS 3 HOJAS</t>
        </is>
      </c>
    </row>
    <row r="14">
      <c r="B14" s="3" t="inlineStr">
        <is>
          <t>INSUMOS  →  Lista de compras. Acá ponés los precios reales. ES LA ÚNICA HOJA QUE TENÉS QUE LLENAR.</t>
        </is>
      </c>
    </row>
    <row r="15">
      <c r="B15" s="3" t="inlineStr">
        <is>
          <t>RECETAS  →  Qué lleva cada plato y cuánto. Se puede agregar o quitar ingredientes libremente.</t>
        </is>
      </c>
    </row>
    <row r="16">
      <c r="B16" s="3" t="inlineStr">
        <is>
          <t>MENÚ     →  Precio de venta, costo, food cost % y margen. Semáforo automático.</t>
        </is>
      </c>
    </row>
    <row r="17">
      <c r="B17" s="3" t="inlineStr"/>
    </row>
    <row r="18">
      <c r="B18" s="4" t="inlineStr">
        <is>
          <t>EL SEMÁFORO</t>
        </is>
      </c>
    </row>
    <row r="19">
      <c r="B19" s="3" t="inlineStr">
        <is>
          <t>✅ SANO      food cost hasta 30%   — así debe estar todo</t>
        </is>
      </c>
    </row>
    <row r="20">
      <c r="B20" s="3" t="inlineStr">
        <is>
          <t>🟡 LÍMITE    30% a 35%             — aceptable, vigilar</t>
        </is>
      </c>
    </row>
    <row r="21">
      <c r="B21" s="3" t="inlineStr">
        <is>
          <t>🔴 REVISAR   más de 35%            — perdés plata o casi</t>
        </is>
      </c>
    </row>
    <row r="22">
      <c r="B22" s="3" t="inlineStr"/>
    </row>
    <row r="23">
      <c r="B23" s="4" t="inlineStr">
        <is>
          <t>PARA AGREGAR UN PRODUCTO NUEVO</t>
        </is>
      </c>
    </row>
    <row r="24">
      <c r="B24" s="3" t="inlineStr">
        <is>
          <t>1. En RECETAS agregá una fila por cada ingrediente, escribiendo SIEMPRE el mismo nombre de producto.</t>
        </is>
      </c>
    </row>
    <row r="25">
      <c r="B25" s="3" t="inlineStr">
        <is>
          <t>2. En MENÚ agregá una fila con ese mismo nombre exacto y su precio de venta.</t>
        </is>
      </c>
    </row>
    <row r="26">
      <c r="B26" s="3" t="inlineStr">
        <is>
          <t>3. El costo se suma solo. Si el nombre no coincide exacto, el costo sale en cero.</t>
        </is>
      </c>
    </row>
    <row r="27">
      <c r="B27" s="3" t="inlineStr"/>
    </row>
    <row r="28">
      <c r="B28" s="4" t="inlineStr">
        <is>
          <t>OJO CON ESTO</t>
        </is>
      </c>
    </row>
    <row r="29">
      <c r="B29" s="3" t="inlineStr">
        <is>
          <t>Las filas 'AJUSTE: extras sin costear' existen para que los totales cuadren con el PDF de agosto.</t>
        </is>
      </c>
    </row>
    <row r="30">
      <c r="B30" s="3" t="inlineStr">
        <is>
          <t>Representan apanado, aceite, salsas y empaque que todavía no están costeados uno por uno.</t>
        </is>
      </c>
    </row>
    <row r="31">
      <c r="B31" s="3" t="inlineStr">
        <is>
          <t>A medida que consigas esos precios reales, agregá el insumo y bajá o borrá la fila de AJUSTE.</t>
        </is>
      </c>
    </row>
    <row r="32">
      <c r="B32" s="3" t="inlineStr"/>
    </row>
    <row r="33">
      <c r="B33" s="4" t="inlineStr">
        <is>
          <t>PENDIENTE: BEBIDAS</t>
        </is>
      </c>
    </row>
    <row r="34">
      <c r="B34" s="3" t="inlineStr">
        <is>
          <t>No hay ninguna bebida cargada porque no estaban en el menú que se pasó. Cuando las tengas se agregan.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0" customWidth="1" min="4" max="4"/>
    <col width="16" customWidth="1" min="5" max="5"/>
    <col width="18" customWidth="1" min="6" max="6"/>
    <col width="46" customWidth="1" min="7" max="7"/>
  </cols>
  <sheetData>
    <row r="1">
      <c r="A1" s="5" t="inlineStr">
        <is>
          <t>INSUMOS — poné acá los precios reales de compra</t>
        </is>
      </c>
    </row>
    <row r="2">
      <c r="A2" s="6" t="inlineStr">
        <is>
          <t>Solo tocás las columnas B y C. El costo unitario se calcula solo.</t>
        </is>
      </c>
    </row>
    <row r="4" ht="30" customHeight="1">
      <c r="A4" s="7" t="inlineStr">
        <is>
          <t>INSUMO</t>
        </is>
      </c>
      <c r="B4" s="7" t="inlineStr">
        <is>
          <t>Precio de compra</t>
        </is>
      </c>
      <c r="C4" s="7" t="inlineStr">
        <is>
          <t>Cantidad que rinde</t>
        </is>
      </c>
      <c r="D4" s="7" t="inlineStr">
        <is>
          <t>Unidad</t>
        </is>
      </c>
      <c r="E4" s="7" t="inlineStr">
        <is>
          <t>COSTO UNITARIO</t>
        </is>
      </c>
      <c r="F4" s="7" t="inlineStr">
        <is>
          <t>Estado</t>
        </is>
      </c>
      <c r="G4" s="7" t="inlineStr">
        <is>
          <t>Nota</t>
        </is>
      </c>
    </row>
    <row r="5">
      <c r="A5" s="8" t="inlineStr">
        <is>
          <t>— COMIDA —</t>
        </is>
      </c>
      <c r="B5" s="9" t="n"/>
      <c r="C5" s="9" t="n"/>
      <c r="D5" s="9" t="n"/>
      <c r="E5" s="9" t="n"/>
      <c r="F5" s="9" t="n"/>
      <c r="G5" s="9" t="n"/>
    </row>
    <row r="6">
      <c r="A6" s="10" t="inlineStr">
        <is>
          <t>Papa</t>
        </is>
      </c>
      <c r="B6" s="11" t="n">
        <v>3.4</v>
      </c>
      <c r="C6" s="12" t="n">
        <v>1000</v>
      </c>
      <c r="D6" s="13" t="inlineStr">
        <is>
          <t>g</t>
        </is>
      </c>
      <c r="E6" s="14">
        <f>IFERROR(B6/C6,0)</f>
        <v/>
      </c>
      <c r="F6" s="13" t="inlineStr">
        <is>
          <t>✅ Confirmado</t>
        </is>
      </c>
      <c r="G6" s="15" t="inlineStr"/>
    </row>
    <row r="7">
      <c r="A7" s="10" t="inlineStr">
        <is>
          <t>Pollo crudo</t>
        </is>
      </c>
      <c r="B7" s="11" t="n">
        <v>5.53</v>
      </c>
      <c r="C7" s="12" t="n">
        <v>1000</v>
      </c>
      <c r="D7" s="13" t="inlineStr">
        <is>
          <t>g</t>
        </is>
      </c>
      <c r="E7" s="14">
        <f>IFERROR(B7/C7,0)</f>
        <v/>
      </c>
      <c r="F7" s="13" t="inlineStr">
        <is>
          <t>✅ Confirmado</t>
        </is>
      </c>
      <c r="G7" s="15" t="inlineStr">
        <is>
          <t>$0.83 por 150 g</t>
        </is>
      </c>
    </row>
    <row r="8">
      <c r="A8" s="10" t="inlineStr">
        <is>
          <t>Carne molida</t>
        </is>
      </c>
      <c r="B8" s="11" t="n">
        <v>2</v>
      </c>
      <c r="C8" s="12" t="n">
        <v>453.6</v>
      </c>
      <c r="D8" s="13" t="inlineStr">
        <is>
          <t>g</t>
        </is>
      </c>
      <c r="E8" s="14">
        <f>IFERROR(B8/C8,0)</f>
        <v/>
      </c>
      <c r="F8" s="13" t="inlineStr">
        <is>
          <t>✅ Confirmado</t>
        </is>
      </c>
      <c r="G8" s="15" t="inlineStr">
        <is>
          <t>$2.00 la libra</t>
        </is>
      </c>
    </row>
    <row r="9">
      <c r="A9" s="10" t="inlineStr">
        <is>
          <t>Pan de hamburguesa</t>
        </is>
      </c>
      <c r="B9" s="11" t="n">
        <v>2.85</v>
      </c>
      <c r="C9" s="12" t="n">
        <v>6</v>
      </c>
      <c r="D9" s="13" t="inlineStr">
        <is>
          <t>unidad</t>
        </is>
      </c>
      <c r="E9" s="14">
        <f>IFERROR(B9/C9,0)</f>
        <v/>
      </c>
      <c r="F9" s="13" t="inlineStr">
        <is>
          <t>✅ Confirmado</t>
        </is>
      </c>
      <c r="G9" s="15" t="inlineStr">
        <is>
          <t>Buscar uno más barato para la Clásica</t>
        </is>
      </c>
    </row>
    <row r="10">
      <c r="A10" s="10" t="inlineStr">
        <is>
          <t>Cheddar laminado</t>
        </is>
      </c>
      <c r="B10" s="11" t="n">
        <v>6.15</v>
      </c>
      <c r="C10" s="12" t="n">
        <v>1000</v>
      </c>
      <c r="D10" s="13" t="inlineStr">
        <is>
          <t>g</t>
        </is>
      </c>
      <c r="E10" s="14">
        <f>IFERROR(B10/C10,0)</f>
        <v/>
      </c>
      <c r="F10" s="13" t="inlineStr">
        <is>
          <t>✅ Confirmado</t>
        </is>
      </c>
      <c r="G10" s="15" t="inlineStr">
        <is>
          <t>Lámina de 20 g = $0.12</t>
        </is>
      </c>
    </row>
    <row r="11">
      <c r="A11" s="10" t="inlineStr">
        <is>
          <t>Huevo</t>
        </is>
      </c>
      <c r="B11" s="11" t="n">
        <v>1</v>
      </c>
      <c r="C11" s="12" t="n">
        <v>7</v>
      </c>
      <c r="D11" s="13" t="inlineStr">
        <is>
          <t>unidad</t>
        </is>
      </c>
      <c r="E11" s="14">
        <f>IFERROR(B11/C11,0)</f>
        <v/>
      </c>
      <c r="F11" s="13" t="inlineStr">
        <is>
          <t>✅ Confirmado</t>
        </is>
      </c>
      <c r="G11" s="15" t="inlineStr"/>
    </row>
    <row r="12">
      <c r="A12" s="10" t="inlineStr">
        <is>
          <t>Aro de cebolla congelado</t>
        </is>
      </c>
      <c r="B12" s="11" t="n">
        <v>6.62</v>
      </c>
      <c r="C12" s="12" t="n">
        <v>1000</v>
      </c>
      <c r="D12" s="13" t="inlineStr">
        <is>
          <t>g</t>
        </is>
      </c>
      <c r="E12" s="14">
        <f>IFERROR(B12/C12,0)</f>
        <v/>
      </c>
      <c r="F12" s="13" t="inlineStr">
        <is>
          <t>✅ Confirmado</t>
        </is>
      </c>
      <c r="G12" s="15" t="inlineStr">
        <is>
          <t>Aro de 25 g = $0.17</t>
        </is>
      </c>
    </row>
    <row r="13">
      <c r="A13" s="10" t="inlineStr">
        <is>
          <t>Salchicha</t>
        </is>
      </c>
      <c r="B13" s="11" t="n">
        <v>0.35</v>
      </c>
      <c r="C13" s="12" t="n">
        <v>1</v>
      </c>
      <c r="D13" s="13" t="inlineStr">
        <is>
          <t>unidad</t>
        </is>
      </c>
      <c r="E13" s="14">
        <f>IFERROR(B13/C13,0)</f>
        <v/>
      </c>
      <c r="F13" s="13" t="inlineStr">
        <is>
          <t>✅ Confirmado</t>
        </is>
      </c>
      <c r="G13" s="15" t="inlineStr"/>
    </row>
    <row r="14">
      <c r="A14" s="10" t="inlineStr">
        <is>
          <t>Tocino</t>
        </is>
      </c>
      <c r="B14" s="11" t="n">
        <v>0.25</v>
      </c>
      <c r="C14" s="12" t="n">
        <v>25</v>
      </c>
      <c r="D14" s="13" t="inlineStr">
        <is>
          <t>g</t>
        </is>
      </c>
      <c r="E14" s="14">
        <f>IFERROR(B14/C14,0)</f>
        <v/>
      </c>
      <c r="F14" s="13" t="inlineStr">
        <is>
          <t>✅ Confirmado</t>
        </is>
      </c>
      <c r="G14" s="15" t="inlineStr">
        <is>
          <t>1 tira ≈ 25 g</t>
        </is>
      </c>
    </row>
    <row r="15">
      <c r="A15" s="10" t="inlineStr">
        <is>
          <t>Maduro</t>
        </is>
      </c>
      <c r="B15" s="11" t="n">
        <v>0.25</v>
      </c>
      <c r="C15" s="12" t="n">
        <v>1</v>
      </c>
      <c r="D15" s="13" t="inlineStr">
        <is>
          <t>unidad</t>
        </is>
      </c>
      <c r="E15" s="14">
        <f>IFERROR(B15/C15,0)</f>
        <v/>
      </c>
      <c r="F15" s="13" t="inlineStr">
        <is>
          <t>✅ Confirmado</t>
        </is>
      </c>
      <c r="G15" s="15" t="inlineStr"/>
    </row>
    <row r="16">
      <c r="A16" s="10" t="inlineStr">
        <is>
          <t>Guacamole</t>
        </is>
      </c>
      <c r="B16" s="11" t="n">
        <v>0.25</v>
      </c>
      <c r="C16" s="12" t="n">
        <v>1</v>
      </c>
      <c r="D16" s="13" t="inlineStr">
        <is>
          <t>porción</t>
        </is>
      </c>
      <c r="E16" s="14">
        <f>IFERROR(B16/C16,0)</f>
        <v/>
      </c>
      <c r="F16" s="13" t="inlineStr">
        <is>
          <t>✅ Confirmado</t>
        </is>
      </c>
      <c r="G16" s="15" t="inlineStr">
        <is>
          <t>2 cucharadas</t>
        </is>
      </c>
    </row>
    <row r="17">
      <c r="A17" s="10" t="inlineStr">
        <is>
          <t>Patacón</t>
        </is>
      </c>
      <c r="B17" s="11" t="n">
        <v>0.1</v>
      </c>
      <c r="C17" s="12" t="n">
        <v>1</v>
      </c>
      <c r="D17" s="13" t="inlineStr">
        <is>
          <t>unidad</t>
        </is>
      </c>
      <c r="E17" s="14">
        <f>IFERROR(B17/C17,0)</f>
        <v/>
      </c>
      <c r="F17" s="13" t="inlineStr">
        <is>
          <t>✅ Confirmado</t>
        </is>
      </c>
      <c r="G17" s="15" t="inlineStr"/>
    </row>
    <row r="18">
      <c r="A18" s="10" t="inlineStr">
        <is>
          <t>Chorizo</t>
        </is>
      </c>
      <c r="B18" s="11" t="n">
        <v>6.9</v>
      </c>
      <c r="C18" s="12" t="n">
        <v>1000</v>
      </c>
      <c r="D18" s="13" t="inlineStr">
        <is>
          <t>g</t>
        </is>
      </c>
      <c r="E18" s="14">
        <f>IFERROR(B18/C18,0)</f>
        <v/>
      </c>
      <c r="F18" s="13" t="inlineStr">
        <is>
          <t>⚠️ CONFIRMAR</t>
        </is>
      </c>
      <c r="G18" s="15" t="inlineStr">
        <is>
          <t>Estimado — el PDF lo marca como pendiente</t>
        </is>
      </c>
    </row>
    <row r="19">
      <c r="A19" s="10" t="inlineStr">
        <is>
          <t>Cebolla caramelizada</t>
        </is>
      </c>
      <c r="B19" s="11" t="n">
        <v>0.16</v>
      </c>
      <c r="C19" s="12" t="n">
        <v>1</v>
      </c>
      <c r="D19" s="13" t="inlineStr">
        <is>
          <t>porción</t>
        </is>
      </c>
      <c r="E19" s="14">
        <f>IFERROR(B19/C19,0)</f>
        <v/>
      </c>
      <c r="F19" s="13" t="inlineStr">
        <is>
          <t>⚠️ CONFIRMAR</t>
        </is>
      </c>
      <c r="G19" s="15" t="inlineStr">
        <is>
          <t>Estimado</t>
        </is>
      </c>
    </row>
    <row r="20">
      <c r="A20" s="10" t="inlineStr">
        <is>
          <t>Lechuga</t>
        </is>
      </c>
      <c r="B20" s="11" t="n">
        <v>0</v>
      </c>
      <c r="C20" s="12" t="n">
        <v>1</v>
      </c>
      <c r="D20" s="13" t="inlineStr">
        <is>
          <t>porción</t>
        </is>
      </c>
      <c r="E20" s="14">
        <f>IFERROR(B20/C20,0)</f>
        <v/>
      </c>
      <c r="F20" s="13" t="inlineStr">
        <is>
          <t>❌ FALTA</t>
        </is>
      </c>
      <c r="G20" s="15" t="inlineStr">
        <is>
          <t>Conseguir precio</t>
        </is>
      </c>
    </row>
    <row r="21">
      <c r="A21" s="10" t="inlineStr">
        <is>
          <t>Tomate</t>
        </is>
      </c>
      <c r="B21" s="11" t="n">
        <v>0</v>
      </c>
      <c r="C21" s="12" t="n">
        <v>1</v>
      </c>
      <c r="D21" s="13" t="inlineStr">
        <is>
          <t>porción</t>
        </is>
      </c>
      <c r="E21" s="14">
        <f>IFERROR(B21/C21,0)</f>
        <v/>
      </c>
      <c r="F21" s="13" t="inlineStr">
        <is>
          <t>❌ FALTA</t>
        </is>
      </c>
      <c r="G21" s="15" t="inlineStr">
        <is>
          <t>Conseguir precio</t>
        </is>
      </c>
    </row>
    <row r="22">
      <c r="A22" s="10" t="inlineStr">
        <is>
          <t>Salsas (porción)</t>
        </is>
      </c>
      <c r="B22" s="11" t="n">
        <v>0</v>
      </c>
      <c r="C22" s="12" t="n">
        <v>1</v>
      </c>
      <c r="D22" s="13" t="inlineStr">
        <is>
          <t>porción</t>
        </is>
      </c>
      <c r="E22" s="14">
        <f>IFERROR(B22/C22,0)</f>
        <v/>
      </c>
      <c r="F22" s="13" t="inlineStr">
        <is>
          <t>❌ FALTA</t>
        </is>
      </c>
      <c r="G22" s="15" t="inlineStr">
        <is>
          <t>Conseguir precio</t>
        </is>
      </c>
    </row>
    <row r="23">
      <c r="A23" s="10" t="inlineStr">
        <is>
          <t>Apanado</t>
        </is>
      </c>
      <c r="B23" s="11" t="n">
        <v>0</v>
      </c>
      <c r="C23" s="12" t="n">
        <v>1</v>
      </c>
      <c r="D23" s="13" t="inlineStr">
        <is>
          <t>porción</t>
        </is>
      </c>
      <c r="E23" s="14">
        <f>IFERROR(B23/C23,0)</f>
        <v/>
      </c>
      <c r="F23" s="13" t="inlineStr">
        <is>
          <t>❌ FALTA</t>
        </is>
      </c>
      <c r="G23" s="15" t="inlineStr">
        <is>
          <t>Conseguir precio</t>
        </is>
      </c>
    </row>
    <row r="24">
      <c r="A24" s="10" t="inlineStr">
        <is>
          <t>Aceite (por fritura)</t>
        </is>
      </c>
      <c r="B24" s="11" t="n">
        <v>0</v>
      </c>
      <c r="C24" s="12" t="n">
        <v>1</v>
      </c>
      <c r="D24" s="13" t="inlineStr">
        <is>
          <t>porción</t>
        </is>
      </c>
      <c r="E24" s="14">
        <f>IFERROR(B24/C24,0)</f>
        <v/>
      </c>
      <c r="F24" s="13" t="inlineStr">
        <is>
          <t>❌ FALTA</t>
        </is>
      </c>
      <c r="G24" s="15" t="inlineStr">
        <is>
          <t>Conseguir precio</t>
        </is>
      </c>
    </row>
    <row r="25">
      <c r="A25" s="8" t="inlineStr">
        <is>
          <t>— EMPAQUE —</t>
        </is>
      </c>
      <c r="B25" s="9" t="n"/>
      <c r="C25" s="9" t="n"/>
      <c r="D25" s="9" t="n"/>
      <c r="E25" s="9" t="n"/>
      <c r="F25" s="9" t="n"/>
      <c r="G25" s="9" t="n"/>
    </row>
    <row r="26">
      <c r="A26" s="10" t="inlineStr">
        <is>
          <t>Bandeja kraft</t>
        </is>
      </c>
      <c r="B26" s="11" t="n">
        <v>0.04</v>
      </c>
      <c r="C26" s="12" t="n">
        <v>1</v>
      </c>
      <c r="D26" s="13" t="inlineStr">
        <is>
          <t>unidad</t>
        </is>
      </c>
      <c r="E26" s="14">
        <f>IFERROR(B26/C26,0)</f>
        <v/>
      </c>
      <c r="F26" s="13" t="inlineStr">
        <is>
          <t>✅ Confirmado</t>
        </is>
      </c>
      <c r="G26" s="15" t="inlineStr">
        <is>
          <t>Consumo en el local</t>
        </is>
      </c>
    </row>
    <row r="27">
      <c r="A27" s="10" t="inlineStr">
        <is>
          <t>Lonchera biodegradable 8"</t>
        </is>
      </c>
      <c r="B27" s="11" t="n">
        <v>0.23</v>
      </c>
      <c r="C27" s="12" t="n">
        <v>1</v>
      </c>
      <c r="D27" s="13" t="inlineStr">
        <is>
          <t>unidad</t>
        </is>
      </c>
      <c r="E27" s="14">
        <f>IFERROR(B27/C27,0)</f>
        <v/>
      </c>
      <c r="F27" s="13" t="inlineStr">
        <is>
          <t>✅ Confirmado</t>
        </is>
      </c>
      <c r="G27" s="15" t="inlineStr">
        <is>
          <t>Delivery</t>
        </is>
      </c>
    </row>
    <row r="28">
      <c r="A28" s="10" t="inlineStr">
        <is>
          <t>Cono de papel</t>
        </is>
      </c>
      <c r="B28" s="11" t="n">
        <v>0</v>
      </c>
      <c r="C28" s="12" t="n">
        <v>1</v>
      </c>
      <c r="D28" s="13" t="inlineStr">
        <is>
          <t>unidad</t>
        </is>
      </c>
      <c r="E28" s="14">
        <f>IFERROR(B28/C28,0)</f>
        <v/>
      </c>
      <c r="F28" s="13" t="inlineStr">
        <is>
          <t>❌ FALTA</t>
        </is>
      </c>
      <c r="G28" s="15" t="inlineStr">
        <is>
          <t>Conseguir precio</t>
        </is>
      </c>
    </row>
    <row r="29">
      <c r="A29" s="10" t="inlineStr">
        <is>
          <t>Vaso 12oz + tapa + pitillo</t>
        </is>
      </c>
      <c r="B29" s="11" t="n">
        <v>0.1</v>
      </c>
      <c r="C29" s="12" t="n">
        <v>1</v>
      </c>
      <c r="D29" s="13" t="inlineStr">
        <is>
          <t>set</t>
        </is>
      </c>
      <c r="E29" s="14">
        <f>IFERROR(B29/C29,0)</f>
        <v/>
      </c>
      <c r="F29" s="13" t="inlineStr">
        <is>
          <t>⚠️ CONFIRMAR</t>
        </is>
      </c>
      <c r="G29" s="15" t="inlineStr">
        <is>
          <t>Estimado de mayo</t>
        </is>
      </c>
    </row>
    <row r="30">
      <c r="A30" s="8" t="inlineStr">
        <is>
          <t>— GRANIZADOS —</t>
        </is>
      </c>
      <c r="B30" s="9" t="n"/>
      <c r="C30" s="9" t="n"/>
      <c r="D30" s="9" t="n"/>
      <c r="E30" s="9" t="n"/>
      <c r="F30" s="9" t="n"/>
      <c r="G30" s="9" t="n"/>
    </row>
    <row r="31">
      <c r="A31" s="10" t="inlineStr">
        <is>
          <t>Jarabe concentrado</t>
        </is>
      </c>
      <c r="B31" s="11" t="n">
        <v>10</v>
      </c>
      <c r="C31" s="12" t="n">
        <v>3785</v>
      </c>
      <c r="D31" s="13" t="inlineStr">
        <is>
          <t>ml</t>
        </is>
      </c>
      <c r="E31" s="14">
        <f>IFERROR(B31/C31,0)</f>
        <v/>
      </c>
      <c r="F31" s="13" t="inlineStr">
        <is>
          <t>⚠️ CONFIRMAR</t>
        </is>
      </c>
      <c r="G31" s="15" t="inlineStr">
        <is>
          <t>1 galón · dilución 1:3 · 62.5 ml por vaso</t>
        </is>
      </c>
    </row>
    <row r="32">
      <c r="A32" s="10" t="inlineStr">
        <is>
          <t>Hielo</t>
        </is>
      </c>
      <c r="B32" s="11" t="n">
        <v>0.75</v>
      </c>
      <c r="C32" s="12" t="n">
        <v>2268</v>
      </c>
      <c r="D32" s="13" t="inlineStr">
        <is>
          <t>g</t>
        </is>
      </c>
      <c r="E32" s="14">
        <f>IFERROR(B32/C32,0)</f>
        <v/>
      </c>
      <c r="F32" s="13" t="inlineStr">
        <is>
          <t>⚠️ CONFIRMAR</t>
        </is>
      </c>
      <c r="G32" s="15" t="inlineStr">
        <is>
          <t>Bolsa de 5 lb</t>
        </is>
      </c>
    </row>
    <row r="33">
      <c r="A33" s="10" t="inlineStr">
        <is>
          <t>Leche entera</t>
        </is>
      </c>
      <c r="B33" s="11" t="n">
        <v>1</v>
      </c>
      <c r="C33" s="12" t="n">
        <v>1000</v>
      </c>
      <c r="D33" s="13" t="inlineStr">
        <is>
          <t>ml</t>
        </is>
      </c>
      <c r="E33" s="14">
        <f>IFERROR(B33/C33,0)</f>
        <v/>
      </c>
      <c r="F33" s="13" t="inlineStr">
        <is>
          <t>⚠️ CONFIRMAR</t>
        </is>
      </c>
      <c r="G33" s="15" t="inlineStr">
        <is>
          <t>Estimado de mayo</t>
        </is>
      </c>
    </row>
    <row r="34">
      <c r="A34" s="10" t="inlineStr">
        <is>
          <t>Leche condensada</t>
        </is>
      </c>
      <c r="B34" s="11" t="n">
        <v>4.5</v>
      </c>
      <c r="C34" s="12" t="n">
        <v>1000</v>
      </c>
      <c r="D34" s="13" t="inlineStr">
        <is>
          <t>ml</t>
        </is>
      </c>
      <c r="E34" s="14">
        <f>IFERROR(B34/C34,0)</f>
        <v/>
      </c>
      <c r="F34" s="13" t="inlineStr">
        <is>
          <t>⚠️ CONFIRMAR</t>
        </is>
      </c>
      <c r="G34" s="15" t="inlineStr">
        <is>
          <t>Estimado de mayo</t>
        </is>
      </c>
    </row>
    <row r="35">
      <c r="A35" s="10" t="inlineStr">
        <is>
          <t>Crema de leche</t>
        </is>
      </c>
      <c r="B35" s="11" t="n">
        <v>3</v>
      </c>
      <c r="C35" s="12" t="n">
        <v>1000</v>
      </c>
      <c r="D35" s="13" t="inlineStr">
        <is>
          <t>ml</t>
        </is>
      </c>
      <c r="E35" s="14">
        <f>IFERROR(B35/C35,0)</f>
        <v/>
      </c>
      <c r="F35" s="13" t="inlineStr">
        <is>
          <t>⚠️ CONFIRMAR</t>
        </is>
      </c>
      <c r="G35" s="15" t="inlineStr">
        <is>
          <t>Estimado de mayo</t>
        </is>
      </c>
    </row>
    <row r="36">
      <c r="A36" s="10" t="inlineStr">
        <is>
          <t>Galleta Oreo</t>
        </is>
      </c>
      <c r="B36" s="11" t="n">
        <v>3.2</v>
      </c>
      <c r="C36" s="12" t="n">
        <v>36</v>
      </c>
      <c r="D36" s="13" t="inlineStr">
        <is>
          <t>unidad</t>
        </is>
      </c>
      <c r="E36" s="14">
        <f>IFERROR(B36/C36,0)</f>
        <v/>
      </c>
      <c r="F36" s="13" t="inlineStr">
        <is>
          <t>⚠️ CONFIRMAR</t>
        </is>
      </c>
      <c r="G36" s="15" t="inlineStr">
        <is>
          <t>Paquete de 36</t>
        </is>
      </c>
    </row>
    <row r="37">
      <c r="A37" s="10" t="inlineStr">
        <is>
          <t>Nutella</t>
        </is>
      </c>
      <c r="B37" s="11" t="n">
        <v>16</v>
      </c>
      <c r="C37" s="12" t="n">
        <v>1000</v>
      </c>
      <c r="D37" s="13" t="inlineStr">
        <is>
          <t>g</t>
        </is>
      </c>
      <c r="E37" s="14">
        <f>IFERROR(B37/C37,0)</f>
        <v/>
      </c>
      <c r="F37" s="13" t="inlineStr">
        <is>
          <t>⚠️ CONFIRMAR</t>
        </is>
      </c>
      <c r="G37" s="15" t="inlineStr">
        <is>
          <t>Estimado de mayo</t>
        </is>
      </c>
    </row>
    <row r="38">
      <c r="A38" s="10" t="inlineStr">
        <is>
          <t>Café soluble</t>
        </is>
      </c>
      <c r="B38" s="11" t="n">
        <v>20</v>
      </c>
      <c r="C38" s="12" t="n">
        <v>1000</v>
      </c>
      <c r="D38" s="13" t="inlineStr">
        <is>
          <t>g</t>
        </is>
      </c>
      <c r="E38" s="14">
        <f>IFERROR(B38/C38,0)</f>
        <v/>
      </c>
      <c r="F38" s="13" t="inlineStr">
        <is>
          <t>⚠️ CONFIRMAR</t>
        </is>
      </c>
      <c r="G38" s="15" t="inlineStr">
        <is>
          <t>Estimado de mayo</t>
        </is>
      </c>
    </row>
    <row r="39">
      <c r="A39" s="10" t="inlineStr">
        <is>
          <t>Alcohol (aguardiente/vodka)</t>
        </is>
      </c>
      <c r="B39" s="11" t="n">
        <v>7</v>
      </c>
      <c r="C39" s="12" t="n">
        <v>750</v>
      </c>
      <c r="D39" s="13" t="inlineStr">
        <is>
          <t>ml</t>
        </is>
      </c>
      <c r="E39" s="14">
        <f>IFERROR(B39/C39,0)</f>
        <v/>
      </c>
      <c r="F39" s="13" t="inlineStr">
        <is>
          <t>⚠️ CONFIRMAR</t>
        </is>
      </c>
      <c r="G39" s="15" t="inlineStr">
        <is>
          <t>Porción de 30 ml</t>
        </is>
      </c>
    </row>
    <row r="40">
      <c r="A40" s="8" t="inlineStr">
        <is>
          <t>— BEBIDAS —</t>
        </is>
      </c>
      <c r="B40" s="9" t="n"/>
      <c r="C40" s="9" t="n"/>
      <c r="D40" s="9" t="n"/>
      <c r="E40" s="9" t="n"/>
      <c r="F40" s="9" t="n"/>
      <c r="G40" s="9" t="n"/>
    </row>
    <row r="41">
      <c r="A41" s="10" t="inlineStr">
        <is>
          <t>Cola</t>
        </is>
      </c>
      <c r="B41" s="11" t="n">
        <v>0</v>
      </c>
      <c r="C41" s="12" t="n">
        <v>1</v>
      </c>
      <c r="D41" s="13" t="inlineStr">
        <is>
          <t>unidad</t>
        </is>
      </c>
      <c r="E41" s="14">
        <f>IFERROR(B41/C41,0)</f>
        <v/>
      </c>
      <c r="F41" s="13" t="inlineStr">
        <is>
          <t>❌ FALTA</t>
        </is>
      </c>
      <c r="G41" s="15" t="inlineStr">
        <is>
          <t>No estaba en el menú entregado</t>
        </is>
      </c>
    </row>
    <row r="42">
      <c r="A42" s="8" t="inlineStr">
        <is>
          <t>— AJUSTE TEMPORAL —</t>
        </is>
      </c>
      <c r="B42" s="9" t="n"/>
      <c r="C42" s="9" t="n"/>
      <c r="D42" s="9" t="n"/>
      <c r="E42" s="9" t="n"/>
      <c r="F42" s="9" t="n"/>
      <c r="G42" s="9" t="n"/>
    </row>
    <row r="43">
      <c r="A43" s="10" t="inlineStr">
        <is>
          <t>AJUSTE: extras sin costear</t>
        </is>
      </c>
      <c r="B43" s="11" t="n">
        <v>1</v>
      </c>
      <c r="C43" s="12" t="n">
        <v>1</v>
      </c>
      <c r="D43" s="13" t="inlineStr">
        <is>
          <t>$</t>
        </is>
      </c>
      <c r="E43" s="14">
        <f>IFERROR(B43/C43,0)</f>
        <v/>
      </c>
      <c r="F43" s="13" t="inlineStr">
        <is>
          <t>❌ REEMPLAZAR</t>
        </is>
      </c>
      <c r="G43" s="15" t="inlineStr">
        <is>
          <t>Apanado + aceite + salsas + empaque. La cantidad en RECETAS es el monto en dólares.</t>
        </is>
      </c>
    </row>
  </sheetData>
  <conditionalFormatting sqref="F5:F43">
    <cfRule type="cellIs" priority="1" operator="containsText" dxfId="0">
      <formula>NOT(ISERROR(SEARCH("FALTA",F5)))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0" customWidth="1" min="4" max="4"/>
    <col width="14" customWidth="1" min="5" max="5"/>
  </cols>
  <sheetData>
    <row r="1">
      <c r="A1" s="5" t="inlineStr">
        <is>
          <t>RECETAS — qué lleva cada producto</t>
        </is>
      </c>
    </row>
    <row r="2">
      <c r="A2" s="6" t="inlineStr">
        <is>
          <t>Podés agregar o borrar filas. El nombre del producto debe coincidir EXACTO con la hoja MENÚ.</t>
        </is>
      </c>
    </row>
    <row r="4" ht="30" customHeight="1">
      <c r="A4" s="7" t="inlineStr">
        <is>
          <t>PRODUCTO</t>
        </is>
      </c>
      <c r="B4" s="7" t="inlineStr">
        <is>
          <t>INSUMO</t>
        </is>
      </c>
      <c r="C4" s="7" t="inlineStr">
        <is>
          <t>Cantidad</t>
        </is>
      </c>
      <c r="D4" s="7" t="inlineStr">
        <is>
          <t>Unidad</t>
        </is>
      </c>
      <c r="E4" s="7" t="inlineStr">
        <is>
          <t>COSTO</t>
        </is>
      </c>
    </row>
    <row r="5">
      <c r="A5" s="16" t="inlineStr">
        <is>
          <t>Bandeja Clásica</t>
        </is>
      </c>
      <c r="B5" s="13" t="inlineStr">
        <is>
          <t>Papa</t>
        </is>
      </c>
      <c r="C5" s="13" t="n">
        <v>150</v>
      </c>
      <c r="D5" s="13" t="inlineStr">
        <is>
          <t>g</t>
        </is>
      </c>
      <c r="E5" s="17">
        <f>IFERROR(C5*VLOOKUP(B5,INSUMOS!$A$5:$E$43,5,FALSE),0)</f>
        <v/>
      </c>
    </row>
    <row r="6">
      <c r="A6" s="13" t="inlineStr"/>
      <c r="B6" s="13" t="inlineStr">
        <is>
          <t>Pollo crudo</t>
        </is>
      </c>
      <c r="C6" s="13" t="n">
        <v>150</v>
      </c>
      <c r="D6" s="13" t="inlineStr">
        <is>
          <t>g</t>
        </is>
      </c>
      <c r="E6" s="17">
        <f>IFERROR(C6*VLOOKUP(B6,INSUMOS!$A$5:$E$43,5,FALSE),0)</f>
        <v/>
      </c>
    </row>
    <row r="7">
      <c r="A7" s="13" t="inlineStr"/>
      <c r="B7" s="13" t="inlineStr">
        <is>
          <t>Salchicha</t>
        </is>
      </c>
      <c r="C7" s="13" t="n">
        <v>1</v>
      </c>
      <c r="D7" s="13" t="inlineStr">
        <is>
          <t>unidad</t>
        </is>
      </c>
      <c r="E7" s="17">
        <f>IFERROR(C7*VLOOKUP(B7,INSUMOS!$A$5:$E$43,5,FALSE),0)</f>
        <v/>
      </c>
    </row>
    <row r="8">
      <c r="A8" s="13" t="inlineStr"/>
      <c r="B8" s="13" t="inlineStr">
        <is>
          <t>Bandeja kraft</t>
        </is>
      </c>
      <c r="C8" s="13" t="n">
        <v>1</v>
      </c>
      <c r="D8" s="13" t="inlineStr">
        <is>
          <t>unidad</t>
        </is>
      </c>
      <c r="E8" s="17">
        <f>IFERROR(C8*VLOOKUP(B8,INSUMOS!$A$5:$E$43,5,FALSE),0)</f>
        <v/>
      </c>
    </row>
    <row r="9">
      <c r="A9" s="13" t="inlineStr"/>
      <c r="B9" s="13" t="inlineStr">
        <is>
          <t>AJUSTE: extras sin costear</t>
        </is>
      </c>
      <c r="C9" s="13" t="n">
        <v>0.44</v>
      </c>
      <c r="D9" s="13" t="inlineStr">
        <is>
          <t>$</t>
        </is>
      </c>
      <c r="E9" s="17">
        <f>IFERROR(C9*VLOOKUP(B9,INSUMOS!$A$5:$E$43,5,FALSE),0)</f>
        <v/>
      </c>
    </row>
    <row r="10">
      <c r="A10" s="18" t="inlineStr">
        <is>
          <t>Bandeja Completa</t>
        </is>
      </c>
      <c r="B10" s="19" t="inlineStr">
        <is>
          <t>Papa</t>
        </is>
      </c>
      <c r="C10" s="19" t="n">
        <v>150</v>
      </c>
      <c r="D10" s="19" t="inlineStr">
        <is>
          <t>g</t>
        </is>
      </c>
      <c r="E10" s="20">
        <f>IFERROR(C10*VLOOKUP(B10,INSUMOS!$A$5:$E$43,5,FALSE),0)</f>
        <v/>
      </c>
    </row>
    <row r="11">
      <c r="A11" s="19" t="inlineStr"/>
      <c r="B11" s="19" t="inlineStr">
        <is>
          <t>Pollo crudo</t>
        </is>
      </c>
      <c r="C11" s="19" t="n">
        <v>150</v>
      </c>
      <c r="D11" s="19" t="inlineStr">
        <is>
          <t>g</t>
        </is>
      </c>
      <c r="E11" s="20">
        <f>IFERROR(C11*VLOOKUP(B11,INSUMOS!$A$5:$E$43,5,FALSE),0)</f>
        <v/>
      </c>
    </row>
    <row r="12">
      <c r="A12" s="19" t="inlineStr"/>
      <c r="B12" s="19" t="inlineStr">
        <is>
          <t>Tocino</t>
        </is>
      </c>
      <c r="C12" s="19" t="n">
        <v>25</v>
      </c>
      <c r="D12" s="19" t="inlineStr">
        <is>
          <t>g</t>
        </is>
      </c>
      <c r="E12" s="20">
        <f>IFERROR(C12*VLOOKUP(B12,INSUMOS!$A$5:$E$43,5,FALSE),0)</f>
        <v/>
      </c>
    </row>
    <row r="13">
      <c r="A13" s="19" t="inlineStr"/>
      <c r="B13" s="19" t="inlineStr">
        <is>
          <t>Maduro</t>
        </is>
      </c>
      <c r="C13" s="19" t="n">
        <v>1</v>
      </c>
      <c r="D13" s="19" t="inlineStr">
        <is>
          <t>unidad</t>
        </is>
      </c>
      <c r="E13" s="20">
        <f>IFERROR(C13*VLOOKUP(B13,INSUMOS!$A$5:$E$43,5,FALSE),0)</f>
        <v/>
      </c>
    </row>
    <row r="14">
      <c r="A14" s="19" t="inlineStr"/>
      <c r="B14" s="19" t="inlineStr">
        <is>
          <t>Bandeja kraft</t>
        </is>
      </c>
      <c r="C14" s="19" t="n">
        <v>1</v>
      </c>
      <c r="D14" s="19" t="inlineStr">
        <is>
          <t>unidad</t>
        </is>
      </c>
      <c r="E14" s="20">
        <f>IFERROR(C14*VLOOKUP(B14,INSUMOS!$A$5:$E$43,5,FALSE),0)</f>
        <v/>
      </c>
    </row>
    <row r="15">
      <c r="A15" s="19" t="inlineStr"/>
      <c r="B15" s="19" t="inlineStr">
        <is>
          <t>AJUSTE: extras sin costear</t>
        </is>
      </c>
      <c r="C15" s="19" t="n">
        <v>0.49</v>
      </c>
      <c r="D15" s="19" t="inlineStr">
        <is>
          <t>$</t>
        </is>
      </c>
      <c r="E15" s="20">
        <f>IFERROR(C15*VLOOKUP(B15,INSUMOS!$A$5:$E$43,5,FALSE),0)</f>
        <v/>
      </c>
    </row>
    <row r="16">
      <c r="A16" s="16" t="inlineStr">
        <is>
          <t>Bandeja Suprema</t>
        </is>
      </c>
      <c r="B16" s="13" t="inlineStr">
        <is>
          <t>Papa</t>
        </is>
      </c>
      <c r="C16" s="13" t="n">
        <v>150</v>
      </c>
      <c r="D16" s="13" t="inlineStr">
        <is>
          <t>g</t>
        </is>
      </c>
      <c r="E16" s="17">
        <f>IFERROR(C16*VLOOKUP(B16,INSUMOS!$A$5:$E$43,5,FALSE),0)</f>
        <v/>
      </c>
    </row>
    <row r="17">
      <c r="A17" s="13" t="inlineStr"/>
      <c r="B17" s="13" t="inlineStr">
        <is>
          <t>Pollo crudo</t>
        </is>
      </c>
      <c r="C17" s="13" t="n">
        <v>150</v>
      </c>
      <c r="D17" s="13" t="inlineStr">
        <is>
          <t>g</t>
        </is>
      </c>
      <c r="E17" s="17">
        <f>IFERROR(C17*VLOOKUP(B17,INSUMOS!$A$5:$E$43,5,FALSE),0)</f>
        <v/>
      </c>
    </row>
    <row r="18">
      <c r="A18" s="13" t="inlineStr"/>
      <c r="B18" s="13" t="inlineStr">
        <is>
          <t>Salchicha</t>
        </is>
      </c>
      <c r="C18" s="13" t="n">
        <v>1</v>
      </c>
      <c r="D18" s="13" t="inlineStr">
        <is>
          <t>unidad</t>
        </is>
      </c>
      <c r="E18" s="17">
        <f>IFERROR(C18*VLOOKUP(B18,INSUMOS!$A$5:$E$43,5,FALSE),0)</f>
        <v/>
      </c>
    </row>
    <row r="19">
      <c r="A19" s="13" t="inlineStr"/>
      <c r="B19" s="13" t="inlineStr">
        <is>
          <t>Tocino</t>
        </is>
      </c>
      <c r="C19" s="13" t="n">
        <v>25</v>
      </c>
      <c r="D19" s="13" t="inlineStr">
        <is>
          <t>g</t>
        </is>
      </c>
      <c r="E19" s="17">
        <f>IFERROR(C19*VLOOKUP(B19,INSUMOS!$A$5:$E$43,5,FALSE),0)</f>
        <v/>
      </c>
    </row>
    <row r="20">
      <c r="A20" s="13" t="inlineStr"/>
      <c r="B20" s="13" t="inlineStr">
        <is>
          <t>Maduro</t>
        </is>
      </c>
      <c r="C20" s="13" t="n">
        <v>1</v>
      </c>
      <c r="D20" s="13" t="inlineStr">
        <is>
          <t>unidad</t>
        </is>
      </c>
      <c r="E20" s="17">
        <f>IFERROR(C20*VLOOKUP(B20,INSUMOS!$A$5:$E$43,5,FALSE),0)</f>
        <v/>
      </c>
    </row>
    <row r="21">
      <c r="A21" s="13" t="inlineStr"/>
      <c r="B21" s="13" t="inlineStr">
        <is>
          <t>Guacamole</t>
        </is>
      </c>
      <c r="C21" s="13" t="n">
        <v>1</v>
      </c>
      <c r="D21" s="13" t="inlineStr">
        <is>
          <t>porción</t>
        </is>
      </c>
      <c r="E21" s="17">
        <f>IFERROR(C21*VLOOKUP(B21,INSUMOS!$A$5:$E$43,5,FALSE),0)</f>
        <v/>
      </c>
    </row>
    <row r="22">
      <c r="A22" s="13" t="inlineStr"/>
      <c r="B22" s="13" t="inlineStr">
        <is>
          <t>Patacón</t>
        </is>
      </c>
      <c r="C22" s="13" t="n">
        <v>1</v>
      </c>
      <c r="D22" s="13" t="inlineStr">
        <is>
          <t>unidad</t>
        </is>
      </c>
      <c r="E22" s="17">
        <f>IFERROR(C22*VLOOKUP(B22,INSUMOS!$A$5:$E$43,5,FALSE),0)</f>
        <v/>
      </c>
    </row>
    <row r="23">
      <c r="A23" s="13" t="inlineStr"/>
      <c r="B23" s="13" t="inlineStr">
        <is>
          <t>Bandeja kraft</t>
        </is>
      </c>
      <c r="C23" s="13" t="n">
        <v>1</v>
      </c>
      <c r="D23" s="13" t="inlineStr">
        <is>
          <t>unidad</t>
        </is>
      </c>
      <c r="E23" s="17">
        <f>IFERROR(C23*VLOOKUP(B23,INSUMOS!$A$5:$E$43,5,FALSE),0)</f>
        <v/>
      </c>
    </row>
    <row r="24">
      <c r="A24" s="13" t="inlineStr"/>
      <c r="B24" s="13" t="inlineStr">
        <is>
          <t>AJUSTE: extras sin costear</t>
        </is>
      </c>
      <c r="C24" s="13" t="n">
        <v>0.54</v>
      </c>
      <c r="D24" s="13" t="inlineStr">
        <is>
          <t>$</t>
        </is>
      </c>
      <c r="E24" s="17">
        <f>IFERROR(C24*VLOOKUP(B24,INSUMOS!$A$5:$E$43,5,FALSE),0)</f>
        <v/>
      </c>
    </row>
    <row r="25">
      <c r="A25" s="18" t="inlineStr">
        <is>
          <t>Solitaria de Pollo</t>
        </is>
      </c>
      <c r="B25" s="19" t="inlineStr">
        <is>
          <t>Papa</t>
        </is>
      </c>
      <c r="C25" s="19" t="n">
        <v>180</v>
      </c>
      <c r="D25" s="19" t="inlineStr">
        <is>
          <t>g</t>
        </is>
      </c>
      <c r="E25" s="20">
        <f>IFERROR(C25*VLOOKUP(B25,INSUMOS!$A$5:$E$43,5,FALSE),0)</f>
        <v/>
      </c>
    </row>
    <row r="26">
      <c r="A26" s="19" t="inlineStr"/>
      <c r="B26" s="19" t="inlineStr">
        <is>
          <t>Pollo crudo</t>
        </is>
      </c>
      <c r="C26" s="19" t="n">
        <v>60</v>
      </c>
      <c r="D26" s="19" t="inlineStr">
        <is>
          <t>g</t>
        </is>
      </c>
      <c r="E26" s="20">
        <f>IFERROR(C26*VLOOKUP(B26,INSUMOS!$A$5:$E$43,5,FALSE),0)</f>
        <v/>
      </c>
    </row>
    <row r="27">
      <c r="A27" s="19" t="inlineStr"/>
      <c r="B27" s="19" t="inlineStr">
        <is>
          <t>Cheddar laminado</t>
        </is>
      </c>
      <c r="C27" s="19" t="n">
        <v>25</v>
      </c>
      <c r="D27" s="19" t="inlineStr">
        <is>
          <t>g</t>
        </is>
      </c>
      <c r="E27" s="20">
        <f>IFERROR(C27*VLOOKUP(B27,INSUMOS!$A$5:$E$43,5,FALSE),0)</f>
        <v/>
      </c>
    </row>
    <row r="28">
      <c r="A28" s="19" t="inlineStr"/>
      <c r="B28" s="19" t="inlineStr">
        <is>
          <t>AJUSTE: extras sin costear</t>
        </is>
      </c>
      <c r="C28" s="19" t="n">
        <v>0.4</v>
      </c>
      <c r="D28" s="19" t="inlineStr">
        <is>
          <t>$</t>
        </is>
      </c>
      <c r="E28" s="20">
        <f>IFERROR(C28*VLOOKUP(B28,INSUMOS!$A$5:$E$43,5,FALSE),0)</f>
        <v/>
      </c>
    </row>
    <row r="29">
      <c r="A29" s="16" t="inlineStr">
        <is>
          <t>Solitaria de Chorizo</t>
        </is>
      </c>
      <c r="B29" s="13" t="inlineStr">
        <is>
          <t>Papa</t>
        </is>
      </c>
      <c r="C29" s="13" t="n">
        <v>180</v>
      </c>
      <c r="D29" s="13" t="inlineStr">
        <is>
          <t>g</t>
        </is>
      </c>
      <c r="E29" s="17">
        <f>IFERROR(C29*VLOOKUP(B29,INSUMOS!$A$5:$E$43,5,FALSE),0)</f>
        <v/>
      </c>
    </row>
    <row r="30">
      <c r="A30" s="13" t="inlineStr"/>
      <c r="B30" s="13" t="inlineStr">
        <is>
          <t>Chorizo</t>
        </is>
      </c>
      <c r="C30" s="13" t="n">
        <v>60</v>
      </c>
      <c r="D30" s="13" t="inlineStr">
        <is>
          <t>g</t>
        </is>
      </c>
      <c r="E30" s="17">
        <f>IFERROR(C30*VLOOKUP(B30,INSUMOS!$A$5:$E$43,5,FALSE),0)</f>
        <v/>
      </c>
    </row>
    <row r="31">
      <c r="A31" s="13" t="inlineStr"/>
      <c r="B31" s="13" t="inlineStr">
        <is>
          <t>Cheddar laminado</t>
        </is>
      </c>
      <c r="C31" s="13" t="n">
        <v>25</v>
      </c>
      <c r="D31" s="13" t="inlineStr">
        <is>
          <t>g</t>
        </is>
      </c>
      <c r="E31" s="17">
        <f>IFERROR(C31*VLOOKUP(B31,INSUMOS!$A$5:$E$43,5,FALSE),0)</f>
        <v/>
      </c>
    </row>
    <row r="32">
      <c r="A32" s="13" t="inlineStr"/>
      <c r="B32" s="13" t="inlineStr">
        <is>
          <t>AJUSTE: extras sin costear</t>
        </is>
      </c>
      <c r="C32" s="13" t="n">
        <v>0.4</v>
      </c>
      <c r="D32" s="13" t="inlineStr">
        <is>
          <t>$</t>
        </is>
      </c>
      <c r="E32" s="17">
        <f>IFERROR(C32*VLOOKUP(B32,INSUMOS!$A$5:$E$43,5,FALSE),0)</f>
        <v/>
      </c>
    </row>
    <row r="33">
      <c r="A33" s="18" t="inlineStr">
        <is>
          <t>Pollo Bacon</t>
        </is>
      </c>
      <c r="B33" s="19" t="inlineStr">
        <is>
          <t>Papa</t>
        </is>
      </c>
      <c r="C33" s="19" t="n">
        <v>200</v>
      </c>
      <c r="D33" s="19" t="inlineStr">
        <is>
          <t>g</t>
        </is>
      </c>
      <c r="E33" s="20">
        <f>IFERROR(C33*VLOOKUP(B33,INSUMOS!$A$5:$E$43,5,FALSE),0)</f>
        <v/>
      </c>
    </row>
    <row r="34">
      <c r="A34" s="19" t="inlineStr"/>
      <c r="B34" s="19" t="inlineStr">
        <is>
          <t>Pollo crudo</t>
        </is>
      </c>
      <c r="C34" s="19" t="n">
        <v>60</v>
      </c>
      <c r="D34" s="19" t="inlineStr">
        <is>
          <t>g</t>
        </is>
      </c>
      <c r="E34" s="20">
        <f>IFERROR(C34*VLOOKUP(B34,INSUMOS!$A$5:$E$43,5,FALSE),0)</f>
        <v/>
      </c>
    </row>
    <row r="35">
      <c r="A35" s="19" t="inlineStr"/>
      <c r="B35" s="19" t="inlineStr">
        <is>
          <t>Tocino</t>
        </is>
      </c>
      <c r="C35" s="19" t="n">
        <v>25</v>
      </c>
      <c r="D35" s="19" t="inlineStr">
        <is>
          <t>g</t>
        </is>
      </c>
      <c r="E35" s="20">
        <f>IFERROR(C35*VLOOKUP(B35,INSUMOS!$A$5:$E$43,5,FALSE),0)</f>
        <v/>
      </c>
    </row>
    <row r="36">
      <c r="A36" s="19" t="inlineStr"/>
      <c r="B36" s="19" t="inlineStr">
        <is>
          <t>Cheddar laminado</t>
        </is>
      </c>
      <c r="C36" s="19" t="n">
        <v>30</v>
      </c>
      <c r="D36" s="19" t="inlineStr">
        <is>
          <t>g</t>
        </is>
      </c>
      <c r="E36" s="20">
        <f>IFERROR(C36*VLOOKUP(B36,INSUMOS!$A$5:$E$43,5,FALSE),0)</f>
        <v/>
      </c>
    </row>
    <row r="37">
      <c r="A37" s="19" t="inlineStr"/>
      <c r="B37" s="19" t="inlineStr">
        <is>
          <t>AJUSTE: extras sin costear</t>
        </is>
      </c>
      <c r="C37" s="19" t="n">
        <v>0.41</v>
      </c>
      <c r="D37" s="19" t="inlineStr">
        <is>
          <t>$</t>
        </is>
      </c>
      <c r="E37" s="20">
        <f>IFERROR(C37*VLOOKUP(B37,INSUMOS!$A$5:$E$43,5,FALSE),0)</f>
        <v/>
      </c>
    </row>
    <row r="38">
      <c r="A38" s="16" t="inlineStr">
        <is>
          <t>Chori Bacon</t>
        </is>
      </c>
      <c r="B38" s="13" t="inlineStr">
        <is>
          <t>Papa</t>
        </is>
      </c>
      <c r="C38" s="13" t="n">
        <v>200</v>
      </c>
      <c r="D38" s="13" t="inlineStr">
        <is>
          <t>g</t>
        </is>
      </c>
      <c r="E38" s="17">
        <f>IFERROR(C38*VLOOKUP(B38,INSUMOS!$A$5:$E$43,5,FALSE),0)</f>
        <v/>
      </c>
    </row>
    <row r="39">
      <c r="A39" s="13" t="inlineStr"/>
      <c r="B39" s="13" t="inlineStr">
        <is>
          <t>Chorizo</t>
        </is>
      </c>
      <c r="C39" s="13" t="n">
        <v>50</v>
      </c>
      <c r="D39" s="13" t="inlineStr">
        <is>
          <t>g</t>
        </is>
      </c>
      <c r="E39" s="17">
        <f>IFERROR(C39*VLOOKUP(B39,INSUMOS!$A$5:$E$43,5,FALSE),0)</f>
        <v/>
      </c>
    </row>
    <row r="40">
      <c r="A40" s="13" t="inlineStr"/>
      <c r="B40" s="13" t="inlineStr">
        <is>
          <t>Tocino</t>
        </is>
      </c>
      <c r="C40" s="13" t="n">
        <v>25</v>
      </c>
      <c r="D40" s="13" t="inlineStr">
        <is>
          <t>g</t>
        </is>
      </c>
      <c r="E40" s="17">
        <f>IFERROR(C40*VLOOKUP(B40,INSUMOS!$A$5:$E$43,5,FALSE),0)</f>
        <v/>
      </c>
    </row>
    <row r="41">
      <c r="A41" s="13" t="inlineStr"/>
      <c r="B41" s="13" t="inlineStr">
        <is>
          <t>Cheddar laminado</t>
        </is>
      </c>
      <c r="C41" s="13" t="n">
        <v>30</v>
      </c>
      <c r="D41" s="13" t="inlineStr">
        <is>
          <t>g</t>
        </is>
      </c>
      <c r="E41" s="17">
        <f>IFERROR(C41*VLOOKUP(B41,INSUMOS!$A$5:$E$43,5,FALSE),0)</f>
        <v/>
      </c>
    </row>
    <row r="42">
      <c r="A42" s="13" t="inlineStr"/>
      <c r="B42" s="13" t="inlineStr">
        <is>
          <t>AJUSTE: extras sin costear</t>
        </is>
      </c>
      <c r="C42" s="13" t="n">
        <v>0.41</v>
      </c>
      <c r="D42" s="13" t="inlineStr">
        <is>
          <t>$</t>
        </is>
      </c>
      <c r="E42" s="17">
        <f>IFERROR(C42*VLOOKUP(B42,INSUMOS!$A$5:$E$43,5,FALSE),0)</f>
        <v/>
      </c>
    </row>
    <row r="43">
      <c r="A43" s="18" t="inlineStr">
        <is>
          <t>Carne Bacon</t>
        </is>
      </c>
      <c r="B43" s="19" t="inlineStr">
        <is>
          <t>Papa</t>
        </is>
      </c>
      <c r="C43" s="19" t="n">
        <v>200</v>
      </c>
      <c r="D43" s="19" t="inlineStr">
        <is>
          <t>g</t>
        </is>
      </c>
      <c r="E43" s="20">
        <f>IFERROR(C43*VLOOKUP(B43,INSUMOS!$A$5:$E$43,5,FALSE),0)</f>
        <v/>
      </c>
    </row>
    <row r="44">
      <c r="A44" s="19" t="inlineStr"/>
      <c r="B44" s="19" t="inlineStr">
        <is>
          <t>Carne molida</t>
        </is>
      </c>
      <c r="C44" s="19" t="n">
        <v>60</v>
      </c>
      <c r="D44" s="19" t="inlineStr">
        <is>
          <t>g</t>
        </is>
      </c>
      <c r="E44" s="20">
        <f>IFERROR(C44*VLOOKUP(B44,INSUMOS!$A$5:$E$43,5,FALSE),0)</f>
        <v/>
      </c>
    </row>
    <row r="45">
      <c r="A45" s="19" t="inlineStr"/>
      <c r="B45" s="19" t="inlineStr">
        <is>
          <t>Tocino</t>
        </is>
      </c>
      <c r="C45" s="19" t="n">
        <v>25</v>
      </c>
      <c r="D45" s="19" t="inlineStr">
        <is>
          <t>g</t>
        </is>
      </c>
      <c r="E45" s="20">
        <f>IFERROR(C45*VLOOKUP(B45,INSUMOS!$A$5:$E$43,5,FALSE),0)</f>
        <v/>
      </c>
    </row>
    <row r="46">
      <c r="A46" s="19" t="inlineStr"/>
      <c r="B46" s="19" t="inlineStr">
        <is>
          <t>Cheddar laminado</t>
        </is>
      </c>
      <c r="C46" s="19" t="n">
        <v>30</v>
      </c>
      <c r="D46" s="19" t="inlineStr">
        <is>
          <t>g</t>
        </is>
      </c>
      <c r="E46" s="20">
        <f>IFERROR(C46*VLOOKUP(B46,INSUMOS!$A$5:$E$43,5,FALSE),0)</f>
        <v/>
      </c>
    </row>
    <row r="47">
      <c r="A47" s="19" t="inlineStr"/>
      <c r="B47" s="19" t="inlineStr">
        <is>
          <t>AJUSTE: extras sin costear</t>
        </is>
      </c>
      <c r="C47" s="19" t="n">
        <v>0.41</v>
      </c>
      <c r="D47" s="19" t="inlineStr">
        <is>
          <t>$</t>
        </is>
      </c>
      <c r="E47" s="20">
        <f>IFERROR(C47*VLOOKUP(B47,INSUMOS!$A$5:$E$43,5,FALSE),0)</f>
        <v/>
      </c>
    </row>
    <row r="48">
      <c r="A48" s="16" t="inlineStr">
        <is>
          <t>Don Candy</t>
        </is>
      </c>
      <c r="B48" s="13" t="inlineStr">
        <is>
          <t>Papa</t>
        </is>
      </c>
      <c r="C48" s="13" t="n">
        <v>220</v>
      </c>
      <c r="D48" s="13" t="inlineStr">
        <is>
          <t>g</t>
        </is>
      </c>
      <c r="E48" s="17">
        <f>IFERROR(C48*VLOOKUP(B48,INSUMOS!$A$5:$E$43,5,FALSE),0)</f>
        <v/>
      </c>
    </row>
    <row r="49">
      <c r="A49" s="13" t="inlineStr"/>
      <c r="B49" s="13" t="inlineStr">
        <is>
          <t>Pollo crudo</t>
        </is>
      </c>
      <c r="C49" s="13" t="n">
        <v>40</v>
      </c>
      <c r="D49" s="13" t="inlineStr">
        <is>
          <t>g</t>
        </is>
      </c>
      <c r="E49" s="17">
        <f>IFERROR(C49*VLOOKUP(B49,INSUMOS!$A$5:$E$43,5,FALSE),0)</f>
        <v/>
      </c>
    </row>
    <row r="50">
      <c r="A50" s="13" t="inlineStr"/>
      <c r="B50" s="13" t="inlineStr">
        <is>
          <t>Chorizo</t>
        </is>
      </c>
      <c r="C50" s="13" t="n">
        <v>40</v>
      </c>
      <c r="D50" s="13" t="inlineStr">
        <is>
          <t>g</t>
        </is>
      </c>
      <c r="E50" s="17">
        <f>IFERROR(C50*VLOOKUP(B50,INSUMOS!$A$5:$E$43,5,FALSE),0)</f>
        <v/>
      </c>
    </row>
    <row r="51">
      <c r="A51" s="13" t="inlineStr"/>
      <c r="B51" s="13" t="inlineStr">
        <is>
          <t>Salchicha</t>
        </is>
      </c>
      <c r="C51" s="13" t="n">
        <v>1</v>
      </c>
      <c r="D51" s="13" t="inlineStr">
        <is>
          <t>unidad</t>
        </is>
      </c>
      <c r="E51" s="17">
        <f>IFERROR(C51*VLOOKUP(B51,INSUMOS!$A$5:$E$43,5,FALSE),0)</f>
        <v/>
      </c>
    </row>
    <row r="52">
      <c r="A52" s="13" t="inlineStr"/>
      <c r="B52" s="13" t="inlineStr">
        <is>
          <t>Tocino</t>
        </is>
      </c>
      <c r="C52" s="13" t="n">
        <v>30</v>
      </c>
      <c r="D52" s="13" t="inlineStr">
        <is>
          <t>g</t>
        </is>
      </c>
      <c r="E52" s="17">
        <f>IFERROR(C52*VLOOKUP(B52,INSUMOS!$A$5:$E$43,5,FALSE),0)</f>
        <v/>
      </c>
    </row>
    <row r="53">
      <c r="A53" s="13" t="inlineStr"/>
      <c r="B53" s="13" t="inlineStr">
        <is>
          <t>Cheddar laminado</t>
        </is>
      </c>
      <c r="C53" s="13" t="n">
        <v>40</v>
      </c>
      <c r="D53" s="13" t="inlineStr">
        <is>
          <t>g</t>
        </is>
      </c>
      <c r="E53" s="17">
        <f>IFERROR(C53*VLOOKUP(B53,INSUMOS!$A$5:$E$43,5,FALSE),0)</f>
        <v/>
      </c>
    </row>
    <row r="54">
      <c r="A54" s="13" t="inlineStr"/>
      <c r="B54" s="13" t="inlineStr">
        <is>
          <t>Carne molida</t>
        </is>
      </c>
      <c r="C54" s="13" t="n">
        <v>45</v>
      </c>
      <c r="D54" s="13" t="inlineStr">
        <is>
          <t>g</t>
        </is>
      </c>
      <c r="E54" s="17">
        <f>IFERROR(C54*VLOOKUP(B54,INSUMOS!$A$5:$E$43,5,FALSE),0)</f>
        <v/>
      </c>
    </row>
    <row r="55">
      <c r="A55" s="13" t="inlineStr"/>
      <c r="B55" s="13" t="inlineStr">
        <is>
          <t>AJUSTE: extras sin costear</t>
        </is>
      </c>
      <c r="C55" s="13" t="n">
        <v>0.38</v>
      </c>
      <c r="D55" s="13" t="inlineStr">
        <is>
          <t>$</t>
        </is>
      </c>
      <c r="E55" s="17">
        <f>IFERROR(C55*VLOOKUP(B55,INSUMOS!$A$5:$E$43,5,FALSE),0)</f>
        <v/>
      </c>
    </row>
    <row r="56">
      <c r="A56" s="18" t="inlineStr">
        <is>
          <t>Burger Clásica</t>
        </is>
      </c>
      <c r="B56" s="19" t="inlineStr">
        <is>
          <t>Pan de hamburguesa</t>
        </is>
      </c>
      <c r="C56" s="19" t="n">
        <v>1</v>
      </c>
      <c r="D56" s="19" t="inlineStr">
        <is>
          <t>unidad</t>
        </is>
      </c>
      <c r="E56" s="20">
        <f>IFERROR(C56*VLOOKUP(B56,INSUMOS!$A$5:$E$43,5,FALSE),0)</f>
        <v/>
      </c>
    </row>
    <row r="57">
      <c r="A57" s="19" t="inlineStr"/>
      <c r="B57" s="19" t="inlineStr">
        <is>
          <t>Carne molida</t>
        </is>
      </c>
      <c r="C57" s="19" t="n">
        <v>100</v>
      </c>
      <c r="D57" s="19" t="inlineStr">
        <is>
          <t>g</t>
        </is>
      </c>
      <c r="E57" s="20">
        <f>IFERROR(C57*VLOOKUP(B57,INSUMOS!$A$5:$E$43,5,FALSE),0)</f>
        <v/>
      </c>
    </row>
    <row r="58">
      <c r="A58" s="19" t="inlineStr"/>
      <c r="B58" s="19" t="inlineStr">
        <is>
          <t>Cheddar laminado</t>
        </is>
      </c>
      <c r="C58" s="19" t="n">
        <v>20</v>
      </c>
      <c r="D58" s="19" t="inlineStr">
        <is>
          <t>g</t>
        </is>
      </c>
      <c r="E58" s="20">
        <f>IFERROR(C58*VLOOKUP(B58,INSUMOS!$A$5:$E$43,5,FALSE),0)</f>
        <v/>
      </c>
    </row>
    <row r="59">
      <c r="A59" s="19" t="inlineStr"/>
      <c r="B59" s="19" t="inlineStr">
        <is>
          <t>AJUSTE: extras sin costear</t>
        </is>
      </c>
      <c r="C59" s="19" t="n">
        <v>0.43</v>
      </c>
      <c r="D59" s="19" t="inlineStr">
        <is>
          <t>$</t>
        </is>
      </c>
      <c r="E59" s="20">
        <f>IFERROR(C59*VLOOKUP(B59,INSUMOS!$A$5:$E$43,5,FALSE),0)</f>
        <v/>
      </c>
    </row>
    <row r="60">
      <c r="A60" s="16" t="inlineStr">
        <is>
          <t>Burger Sweet Onion</t>
        </is>
      </c>
      <c r="B60" s="13" t="inlineStr">
        <is>
          <t>Pan de hamburguesa</t>
        </is>
      </c>
      <c r="C60" s="13" t="n">
        <v>1</v>
      </c>
      <c r="D60" s="13" t="inlineStr">
        <is>
          <t>unidad</t>
        </is>
      </c>
      <c r="E60" s="17">
        <f>IFERROR(C60*VLOOKUP(B60,INSUMOS!$A$5:$E$43,5,FALSE),0)</f>
        <v/>
      </c>
    </row>
    <row r="61">
      <c r="A61" s="13" t="inlineStr"/>
      <c r="B61" s="13" t="inlineStr">
        <is>
          <t>Carne molida</t>
        </is>
      </c>
      <c r="C61" s="13" t="n">
        <v>100</v>
      </c>
      <c r="D61" s="13" t="inlineStr">
        <is>
          <t>g</t>
        </is>
      </c>
      <c r="E61" s="17">
        <f>IFERROR(C61*VLOOKUP(B61,INSUMOS!$A$5:$E$43,5,FALSE),0)</f>
        <v/>
      </c>
    </row>
    <row r="62">
      <c r="A62" s="13" t="inlineStr"/>
      <c r="B62" s="13" t="inlineStr">
        <is>
          <t>Cheddar laminado</t>
        </is>
      </c>
      <c r="C62" s="13" t="n">
        <v>20</v>
      </c>
      <c r="D62" s="13" t="inlineStr">
        <is>
          <t>g</t>
        </is>
      </c>
      <c r="E62" s="17">
        <f>IFERROR(C62*VLOOKUP(B62,INSUMOS!$A$5:$E$43,5,FALSE),0)</f>
        <v/>
      </c>
    </row>
    <row r="63">
      <c r="A63" s="13" t="inlineStr"/>
      <c r="B63" s="13" t="inlineStr">
        <is>
          <t>Cebolla caramelizada</t>
        </is>
      </c>
      <c r="C63" s="13" t="n">
        <v>1</v>
      </c>
      <c r="D63" s="13" t="inlineStr">
        <is>
          <t>porción</t>
        </is>
      </c>
      <c r="E63" s="17">
        <f>IFERROR(C63*VLOOKUP(B63,INSUMOS!$A$5:$E$43,5,FALSE),0)</f>
        <v/>
      </c>
    </row>
    <row r="64">
      <c r="A64" s="13" t="inlineStr"/>
      <c r="B64" s="13" t="inlineStr">
        <is>
          <t>Aro de cebolla congelado</t>
        </is>
      </c>
      <c r="C64" s="13" t="n">
        <v>25</v>
      </c>
      <c r="D64" s="13" t="inlineStr">
        <is>
          <t>g</t>
        </is>
      </c>
      <c r="E64" s="17">
        <f>IFERROR(C64*VLOOKUP(B64,INSUMOS!$A$5:$E$43,5,FALSE),0)</f>
        <v/>
      </c>
    </row>
    <row r="65">
      <c r="A65" s="13" t="inlineStr"/>
      <c r="B65" s="13" t="inlineStr">
        <is>
          <t>AJUSTE: extras sin costear</t>
        </is>
      </c>
      <c r="C65" s="13" t="n">
        <v>0.43</v>
      </c>
      <c r="D65" s="13" t="inlineStr">
        <is>
          <t>$</t>
        </is>
      </c>
      <c r="E65" s="17">
        <f>IFERROR(C65*VLOOKUP(B65,INSUMOS!$A$5:$E$43,5,FALSE),0)</f>
        <v/>
      </c>
    </row>
    <row r="66">
      <c r="A66" s="18" t="inlineStr">
        <is>
          <t>Burger Completa</t>
        </is>
      </c>
      <c r="B66" s="19" t="inlineStr">
        <is>
          <t>Pan de hamburguesa</t>
        </is>
      </c>
      <c r="C66" s="19" t="n">
        <v>1</v>
      </c>
      <c r="D66" s="19" t="inlineStr">
        <is>
          <t>unidad</t>
        </is>
      </c>
      <c r="E66" s="20">
        <f>IFERROR(C66*VLOOKUP(B66,INSUMOS!$A$5:$E$43,5,FALSE),0)</f>
        <v/>
      </c>
    </row>
    <row r="67">
      <c r="A67" s="19" t="inlineStr"/>
      <c r="B67" s="19" t="inlineStr">
        <is>
          <t>Carne molida</t>
        </is>
      </c>
      <c r="C67" s="19" t="n">
        <v>100</v>
      </c>
      <c r="D67" s="19" t="inlineStr">
        <is>
          <t>g</t>
        </is>
      </c>
      <c r="E67" s="20">
        <f>IFERROR(C67*VLOOKUP(B67,INSUMOS!$A$5:$E$43,5,FALSE),0)</f>
        <v/>
      </c>
    </row>
    <row r="68">
      <c r="A68" s="19" t="inlineStr"/>
      <c r="B68" s="19" t="inlineStr">
        <is>
          <t>Cheddar laminado</t>
        </is>
      </c>
      <c r="C68" s="19" t="n">
        <v>20</v>
      </c>
      <c r="D68" s="19" t="inlineStr">
        <is>
          <t>g</t>
        </is>
      </c>
      <c r="E68" s="20">
        <f>IFERROR(C68*VLOOKUP(B68,INSUMOS!$A$5:$E$43,5,FALSE),0)</f>
        <v/>
      </c>
    </row>
    <row r="69">
      <c r="A69" s="19" t="inlineStr"/>
      <c r="B69" s="19" t="inlineStr">
        <is>
          <t>Tocino</t>
        </is>
      </c>
      <c r="C69" s="19" t="n">
        <v>25</v>
      </c>
      <c r="D69" s="19" t="inlineStr">
        <is>
          <t>g</t>
        </is>
      </c>
      <c r="E69" s="20">
        <f>IFERROR(C69*VLOOKUP(B69,INSUMOS!$A$5:$E$43,5,FALSE),0)</f>
        <v/>
      </c>
    </row>
    <row r="70">
      <c r="A70" s="19" t="inlineStr"/>
      <c r="B70" s="19" t="inlineStr">
        <is>
          <t>Huevo</t>
        </is>
      </c>
      <c r="C70" s="19" t="n">
        <v>1</v>
      </c>
      <c r="D70" s="19" t="inlineStr">
        <is>
          <t>unidad</t>
        </is>
      </c>
      <c r="E70" s="20">
        <f>IFERROR(C70*VLOOKUP(B70,INSUMOS!$A$5:$E$43,5,FALSE),0)</f>
        <v/>
      </c>
    </row>
    <row r="71">
      <c r="A71" s="19" t="inlineStr"/>
      <c r="B71" s="19" t="inlineStr">
        <is>
          <t>AJUSTE: extras sin costear</t>
        </is>
      </c>
      <c r="C71" s="19" t="n">
        <v>0.49</v>
      </c>
      <c r="D71" s="19" t="inlineStr">
        <is>
          <t>$</t>
        </is>
      </c>
      <c r="E71" s="20">
        <f>IFERROR(C71*VLOOKUP(B71,INSUMOS!$A$5:$E$43,5,FALSE),0)</f>
        <v/>
      </c>
    </row>
    <row r="72">
      <c r="A72" s="16" t="inlineStr">
        <is>
          <t>CandyBurger</t>
        </is>
      </c>
      <c r="B72" s="13" t="inlineStr">
        <is>
          <t>Pan de hamburguesa</t>
        </is>
      </c>
      <c r="C72" s="13" t="n">
        <v>1</v>
      </c>
      <c r="D72" s="13" t="inlineStr">
        <is>
          <t>unidad</t>
        </is>
      </c>
      <c r="E72" s="17">
        <f>IFERROR(C72*VLOOKUP(B72,INSUMOS!$A$5:$E$43,5,FALSE),0)</f>
        <v/>
      </c>
    </row>
    <row r="73">
      <c r="A73" s="13" t="inlineStr"/>
      <c r="B73" s="13" t="inlineStr">
        <is>
          <t>Carne molida</t>
        </is>
      </c>
      <c r="C73" s="13" t="n">
        <v>100</v>
      </c>
      <c r="D73" s="13" t="inlineStr">
        <is>
          <t>g</t>
        </is>
      </c>
      <c r="E73" s="17">
        <f>IFERROR(C73*VLOOKUP(B73,INSUMOS!$A$5:$E$43,5,FALSE),0)</f>
        <v/>
      </c>
    </row>
    <row r="74">
      <c r="A74" s="13" t="inlineStr"/>
      <c r="B74" s="13" t="inlineStr">
        <is>
          <t>Cheddar laminado</t>
        </is>
      </c>
      <c r="C74" s="13" t="n">
        <v>40</v>
      </c>
      <c r="D74" s="13" t="inlineStr">
        <is>
          <t>g</t>
        </is>
      </c>
      <c r="E74" s="17">
        <f>IFERROR(C74*VLOOKUP(B74,INSUMOS!$A$5:$E$43,5,FALSE),0)</f>
        <v/>
      </c>
    </row>
    <row r="75">
      <c r="A75" s="13" t="inlineStr"/>
      <c r="B75" s="13" t="inlineStr">
        <is>
          <t>Tocino</t>
        </is>
      </c>
      <c r="C75" s="13" t="n">
        <v>25</v>
      </c>
      <c r="D75" s="13" t="inlineStr">
        <is>
          <t>g</t>
        </is>
      </c>
      <c r="E75" s="17">
        <f>IFERROR(C75*VLOOKUP(B75,INSUMOS!$A$5:$E$43,5,FALSE),0)</f>
        <v/>
      </c>
    </row>
    <row r="76">
      <c r="A76" s="13" t="inlineStr"/>
      <c r="B76" s="13" t="inlineStr">
        <is>
          <t>Huevo</t>
        </is>
      </c>
      <c r="C76" s="13" t="n">
        <v>1</v>
      </c>
      <c r="D76" s="13" t="inlineStr">
        <is>
          <t>unidad</t>
        </is>
      </c>
      <c r="E76" s="17">
        <f>IFERROR(C76*VLOOKUP(B76,INSUMOS!$A$5:$E$43,5,FALSE),0)</f>
        <v/>
      </c>
    </row>
    <row r="77">
      <c r="A77" s="13" t="inlineStr"/>
      <c r="B77" s="13" t="inlineStr">
        <is>
          <t>Cebolla caramelizada</t>
        </is>
      </c>
      <c r="C77" s="13" t="n">
        <v>1</v>
      </c>
      <c r="D77" s="13" t="inlineStr">
        <is>
          <t>porción</t>
        </is>
      </c>
      <c r="E77" s="17">
        <f>IFERROR(C77*VLOOKUP(B77,INSUMOS!$A$5:$E$43,5,FALSE),0)</f>
        <v/>
      </c>
    </row>
    <row r="78">
      <c r="A78" s="13" t="inlineStr"/>
      <c r="B78" s="13" t="inlineStr">
        <is>
          <t>Aro de cebolla congelado</t>
        </is>
      </c>
      <c r="C78" s="13" t="n">
        <v>25</v>
      </c>
      <c r="D78" s="13" t="inlineStr">
        <is>
          <t>g</t>
        </is>
      </c>
      <c r="E78" s="17">
        <f>IFERROR(C78*VLOOKUP(B78,INSUMOS!$A$5:$E$43,5,FALSE),0)</f>
        <v/>
      </c>
    </row>
    <row r="79">
      <c r="A79" s="13" t="inlineStr"/>
      <c r="B79" s="13" t="inlineStr">
        <is>
          <t>AJUSTE: extras sin costear</t>
        </is>
      </c>
      <c r="C79" s="13" t="n">
        <v>0.43</v>
      </c>
      <c r="D79" s="13" t="inlineStr">
        <is>
          <t>$</t>
        </is>
      </c>
      <c r="E79" s="17">
        <f>IFERROR(C79*VLOOKUP(B79,INSUMOS!$A$5:$E$43,5,FALSE),0)</f>
        <v/>
      </c>
    </row>
    <row r="80">
      <c r="A80" s="18" t="inlineStr">
        <is>
          <t>3 Tenders</t>
        </is>
      </c>
      <c r="B80" s="19" t="inlineStr">
        <is>
          <t>Pollo crudo</t>
        </is>
      </c>
      <c r="C80" s="19" t="n">
        <v>135</v>
      </c>
      <c r="D80" s="19" t="inlineStr">
        <is>
          <t>g</t>
        </is>
      </c>
      <c r="E80" s="20">
        <f>IFERROR(C80*VLOOKUP(B80,INSUMOS!$A$5:$E$43,5,FALSE),0)</f>
        <v/>
      </c>
    </row>
    <row r="81">
      <c r="A81" s="19" t="inlineStr"/>
      <c r="B81" s="19" t="inlineStr">
        <is>
          <t>AJUSTE: extras sin costear</t>
        </is>
      </c>
      <c r="C81" s="19" t="n">
        <v>0.6</v>
      </c>
      <c r="D81" s="19" t="inlineStr">
        <is>
          <t>$</t>
        </is>
      </c>
      <c r="E81" s="20">
        <f>IFERROR(C81*VLOOKUP(B81,INSUMOS!$A$5:$E$43,5,FALSE),0)</f>
        <v/>
      </c>
    </row>
    <row r="82">
      <c r="A82" s="16" t="inlineStr">
        <is>
          <t>5 Tenders</t>
        </is>
      </c>
      <c r="B82" s="13" t="inlineStr">
        <is>
          <t>Pollo crudo</t>
        </is>
      </c>
      <c r="C82" s="13" t="n">
        <v>225</v>
      </c>
      <c r="D82" s="13" t="inlineStr">
        <is>
          <t>g</t>
        </is>
      </c>
      <c r="E82" s="17">
        <f>IFERROR(C82*VLOOKUP(B82,INSUMOS!$A$5:$E$43,5,FALSE),0)</f>
        <v/>
      </c>
    </row>
    <row r="83">
      <c r="A83" s="13" t="inlineStr"/>
      <c r="B83" s="13" t="inlineStr">
        <is>
          <t>AJUSTE: extras sin costear</t>
        </is>
      </c>
      <c r="C83" s="13" t="n">
        <v>0.71</v>
      </c>
      <c r="D83" s="13" t="inlineStr">
        <is>
          <t>$</t>
        </is>
      </c>
      <c r="E83" s="17">
        <f>IFERROR(C83*VLOOKUP(B83,INSUMOS!$A$5:$E$43,5,FALSE),0)</f>
        <v/>
      </c>
    </row>
    <row r="84">
      <c r="A84" s="18" t="inlineStr">
        <is>
          <t>Adicional: Porción de papas</t>
        </is>
      </c>
      <c r="B84" s="19" t="inlineStr">
        <is>
          <t>Papa</t>
        </is>
      </c>
      <c r="C84" s="19" t="n">
        <v>110</v>
      </c>
      <c r="D84" s="19" t="inlineStr">
        <is>
          <t>g</t>
        </is>
      </c>
      <c r="E84" s="20">
        <f>IFERROR(C84*VLOOKUP(B84,INSUMOS!$A$5:$E$43,5,FALSE),0)</f>
        <v/>
      </c>
    </row>
    <row r="85">
      <c r="A85" s="19" t="inlineStr"/>
      <c r="B85" s="19" t="inlineStr">
        <is>
          <t>AJUSTE: extras sin costear</t>
        </is>
      </c>
      <c r="C85" s="19" t="n">
        <v>0.18</v>
      </c>
      <c r="D85" s="19" t="inlineStr">
        <is>
          <t>$</t>
        </is>
      </c>
      <c r="E85" s="20">
        <f>IFERROR(C85*VLOOKUP(B85,INSUMOS!$A$5:$E$43,5,FALSE),0)</f>
        <v/>
      </c>
    </row>
    <row r="86">
      <c r="A86" s="16" t="inlineStr">
        <is>
          <t>Adicional: Cola + porción de papas</t>
        </is>
      </c>
      <c r="B86" s="13" t="inlineStr">
        <is>
          <t>Papa</t>
        </is>
      </c>
      <c r="C86" s="13" t="n">
        <v>110</v>
      </c>
      <c r="D86" s="13" t="inlineStr">
        <is>
          <t>g</t>
        </is>
      </c>
      <c r="E86" s="17">
        <f>IFERROR(C86*VLOOKUP(B86,INSUMOS!$A$5:$E$43,5,FALSE),0)</f>
        <v/>
      </c>
    </row>
    <row r="87">
      <c r="A87" s="13" t="inlineStr"/>
      <c r="B87" s="13" t="inlineStr">
        <is>
          <t>Cola</t>
        </is>
      </c>
      <c r="C87" s="13" t="n">
        <v>1</v>
      </c>
      <c r="D87" s="13" t="inlineStr">
        <is>
          <t>unidad</t>
        </is>
      </c>
      <c r="E87" s="17">
        <f>IFERROR(C87*VLOOKUP(B87,INSUMOS!$A$5:$E$43,5,FALSE),0)</f>
        <v/>
      </c>
    </row>
    <row r="88">
      <c r="A88" s="13" t="inlineStr"/>
      <c r="B88" s="13" t="inlineStr">
        <is>
          <t>AJUSTE: extras sin costear</t>
        </is>
      </c>
      <c r="C88" s="13" t="n">
        <v>0.18</v>
      </c>
      <c r="D88" s="13" t="inlineStr">
        <is>
          <t>$</t>
        </is>
      </c>
      <c r="E88" s="17">
        <f>IFERROR(C88*VLOOKUP(B88,INSUMOS!$A$5:$E$43,5,FALSE),0)</f>
        <v/>
      </c>
    </row>
    <row r="89">
      <c r="A89" s="18" t="inlineStr">
        <is>
          <t>Adicional: Doble carne</t>
        </is>
      </c>
      <c r="B89" s="19" t="inlineStr">
        <is>
          <t>Carne molida</t>
        </is>
      </c>
      <c r="C89" s="19" t="n">
        <v>100</v>
      </c>
      <c r="D89" s="19" t="inlineStr">
        <is>
          <t>g</t>
        </is>
      </c>
      <c r="E89" s="20">
        <f>IFERROR(C89*VLOOKUP(B89,INSUMOS!$A$5:$E$43,5,FALSE),0)</f>
        <v/>
      </c>
    </row>
    <row r="90">
      <c r="A90" s="16" t="inlineStr">
        <is>
          <t>Granizado de Máquina (sin alcohol)</t>
        </is>
      </c>
      <c r="B90" s="13" t="inlineStr">
        <is>
          <t>Jarabe concentrado</t>
        </is>
      </c>
      <c r="C90" s="13" t="n">
        <v>62.5</v>
      </c>
      <c r="D90" s="13" t="inlineStr">
        <is>
          <t>ml</t>
        </is>
      </c>
      <c r="E90" s="17">
        <f>IFERROR(C90*VLOOKUP(B90,INSUMOS!$A$5:$E$43,5,FALSE),0)</f>
        <v/>
      </c>
    </row>
    <row r="91">
      <c r="A91" s="13" t="inlineStr"/>
      <c r="B91" s="13" t="inlineStr">
        <is>
          <t>Vaso 12oz + tapa + pitillo</t>
        </is>
      </c>
      <c r="C91" s="13" t="n">
        <v>1</v>
      </c>
      <c r="D91" s="13" t="inlineStr">
        <is>
          <t>set</t>
        </is>
      </c>
      <c r="E91" s="17">
        <f>IFERROR(C91*VLOOKUP(B91,INSUMOS!$A$5:$E$43,5,FALSE),0)</f>
        <v/>
      </c>
    </row>
    <row r="92">
      <c r="A92" s="18" t="inlineStr">
        <is>
          <t>Granizado de Máquina (con alcohol)</t>
        </is>
      </c>
      <c r="B92" s="19" t="inlineStr">
        <is>
          <t>Jarabe concentrado</t>
        </is>
      </c>
      <c r="C92" s="19" t="n">
        <v>62.5</v>
      </c>
      <c r="D92" s="19" t="inlineStr">
        <is>
          <t>ml</t>
        </is>
      </c>
      <c r="E92" s="20">
        <f>IFERROR(C92*VLOOKUP(B92,INSUMOS!$A$5:$E$43,5,FALSE),0)</f>
        <v/>
      </c>
    </row>
    <row r="93">
      <c r="A93" s="19" t="inlineStr"/>
      <c r="B93" s="19" t="inlineStr">
        <is>
          <t>Vaso 12oz + tapa + pitillo</t>
        </is>
      </c>
      <c r="C93" s="19" t="n">
        <v>1</v>
      </c>
      <c r="D93" s="19" t="inlineStr">
        <is>
          <t>set</t>
        </is>
      </c>
      <c r="E93" s="20">
        <f>IFERROR(C93*VLOOKUP(B93,INSUMOS!$A$5:$E$43,5,FALSE),0)</f>
        <v/>
      </c>
    </row>
    <row r="94">
      <c r="A94" s="19" t="inlineStr"/>
      <c r="B94" s="19" t="inlineStr">
        <is>
          <t>Alcohol (aguardiente/vodka)</t>
        </is>
      </c>
      <c r="C94" s="19" t="n">
        <v>30</v>
      </c>
      <c r="D94" s="19" t="inlineStr">
        <is>
          <t>ml</t>
        </is>
      </c>
      <c r="E94" s="20">
        <f>IFERROR(C94*VLOOKUP(B94,INSUMOS!$A$5:$E$43,5,FALSE),0)</f>
        <v/>
      </c>
    </row>
    <row r="95">
      <c r="A95" s="16" t="inlineStr">
        <is>
          <t>Especial Oreo (sin alcohol)</t>
        </is>
      </c>
      <c r="B95" s="13" t="inlineStr">
        <is>
          <t>Galleta Oreo</t>
        </is>
      </c>
      <c r="C95" s="13" t="n">
        <v>4</v>
      </c>
      <c r="D95" s="13" t="inlineStr">
        <is>
          <t>unidad</t>
        </is>
      </c>
      <c r="E95" s="17">
        <f>IFERROR(C95*VLOOKUP(B95,INSUMOS!$A$5:$E$43,5,FALSE),0)</f>
        <v/>
      </c>
    </row>
    <row r="96">
      <c r="A96" s="13" t="inlineStr"/>
      <c r="B96" s="13" t="inlineStr">
        <is>
          <t>Leche entera</t>
        </is>
      </c>
      <c r="C96" s="13" t="n">
        <v>100</v>
      </c>
      <c r="D96" s="13" t="inlineStr">
        <is>
          <t>ml</t>
        </is>
      </c>
      <c r="E96" s="17">
        <f>IFERROR(C96*VLOOKUP(B96,INSUMOS!$A$5:$E$43,5,FALSE),0)</f>
        <v/>
      </c>
    </row>
    <row r="97">
      <c r="A97" s="13" t="inlineStr"/>
      <c r="B97" s="13" t="inlineStr">
        <is>
          <t>Hielo</t>
        </is>
      </c>
      <c r="C97" s="13" t="n">
        <v>150</v>
      </c>
      <c r="D97" s="13" t="inlineStr">
        <is>
          <t>g</t>
        </is>
      </c>
      <c r="E97" s="17">
        <f>IFERROR(C97*VLOOKUP(B97,INSUMOS!$A$5:$E$43,5,FALSE),0)</f>
        <v/>
      </c>
    </row>
    <row r="98">
      <c r="A98" s="13" t="inlineStr"/>
      <c r="B98" s="13" t="inlineStr">
        <is>
          <t>Crema de leche</t>
        </is>
      </c>
      <c r="C98" s="13" t="n">
        <v>20</v>
      </c>
      <c r="D98" s="13" t="inlineStr">
        <is>
          <t>ml</t>
        </is>
      </c>
      <c r="E98" s="17">
        <f>IFERROR(C98*VLOOKUP(B98,INSUMOS!$A$5:$E$43,5,FALSE),0)</f>
        <v/>
      </c>
    </row>
    <row r="99">
      <c r="A99" s="13" t="inlineStr"/>
      <c r="B99" s="13" t="inlineStr">
        <is>
          <t>Vaso 12oz + tapa + pitillo</t>
        </is>
      </c>
      <c r="C99" s="13" t="n">
        <v>1</v>
      </c>
      <c r="D99" s="13" t="inlineStr">
        <is>
          <t>set</t>
        </is>
      </c>
      <c r="E99" s="17">
        <f>IFERROR(C99*VLOOKUP(B99,INSUMOS!$A$5:$E$43,5,FALSE),0)</f>
        <v/>
      </c>
    </row>
    <row r="100">
      <c r="A100" s="18" t="inlineStr">
        <is>
          <t>Especial Oreo (con alcohol)</t>
        </is>
      </c>
      <c r="B100" s="19" t="inlineStr">
        <is>
          <t>Galleta Oreo</t>
        </is>
      </c>
      <c r="C100" s="19" t="n">
        <v>4</v>
      </c>
      <c r="D100" s="19" t="inlineStr">
        <is>
          <t>unidad</t>
        </is>
      </c>
      <c r="E100" s="20">
        <f>IFERROR(C100*VLOOKUP(B100,INSUMOS!$A$5:$E$43,5,FALSE),0)</f>
        <v/>
      </c>
    </row>
    <row r="101">
      <c r="A101" s="19" t="inlineStr"/>
      <c r="B101" s="19" t="inlineStr">
        <is>
          <t>Leche entera</t>
        </is>
      </c>
      <c r="C101" s="19" t="n">
        <v>100</v>
      </c>
      <c r="D101" s="19" t="inlineStr">
        <is>
          <t>ml</t>
        </is>
      </c>
      <c r="E101" s="20">
        <f>IFERROR(C101*VLOOKUP(B101,INSUMOS!$A$5:$E$43,5,FALSE),0)</f>
        <v/>
      </c>
    </row>
    <row r="102">
      <c r="A102" s="19" t="inlineStr"/>
      <c r="B102" s="19" t="inlineStr">
        <is>
          <t>Hielo</t>
        </is>
      </c>
      <c r="C102" s="19" t="n">
        <v>150</v>
      </c>
      <c r="D102" s="19" t="inlineStr">
        <is>
          <t>g</t>
        </is>
      </c>
      <c r="E102" s="20">
        <f>IFERROR(C102*VLOOKUP(B102,INSUMOS!$A$5:$E$43,5,FALSE),0)</f>
        <v/>
      </c>
    </row>
    <row r="103">
      <c r="A103" s="19" t="inlineStr"/>
      <c r="B103" s="19" t="inlineStr">
        <is>
          <t>Crema de leche</t>
        </is>
      </c>
      <c r="C103" s="19" t="n">
        <v>20</v>
      </c>
      <c r="D103" s="19" t="inlineStr">
        <is>
          <t>ml</t>
        </is>
      </c>
      <c r="E103" s="20">
        <f>IFERROR(C103*VLOOKUP(B103,INSUMOS!$A$5:$E$43,5,FALSE),0)</f>
        <v/>
      </c>
    </row>
    <row r="104">
      <c r="A104" s="19" t="inlineStr"/>
      <c r="B104" s="19" t="inlineStr">
        <is>
          <t>Vaso 12oz + tapa + pitillo</t>
        </is>
      </c>
      <c r="C104" s="19" t="n">
        <v>1</v>
      </c>
      <c r="D104" s="19" t="inlineStr">
        <is>
          <t>set</t>
        </is>
      </c>
      <c r="E104" s="20">
        <f>IFERROR(C104*VLOOKUP(B104,INSUMOS!$A$5:$E$43,5,FALSE),0)</f>
        <v/>
      </c>
    </row>
    <row r="105">
      <c r="A105" s="19" t="inlineStr"/>
      <c r="B105" s="19" t="inlineStr">
        <is>
          <t>Alcohol (aguardiente/vodka)</t>
        </is>
      </c>
      <c r="C105" s="19" t="n">
        <v>30</v>
      </c>
      <c r="D105" s="19" t="inlineStr">
        <is>
          <t>ml</t>
        </is>
      </c>
      <c r="E105" s="20">
        <f>IFERROR(C105*VLOOKUP(B105,INSUMOS!$A$5:$E$43,5,FALSE),0)</f>
        <v/>
      </c>
    </row>
    <row r="106">
      <c r="A106" s="16" t="inlineStr">
        <is>
          <t>Especial Nutella (sin alcohol)</t>
        </is>
      </c>
      <c r="B106" s="13" t="inlineStr">
        <is>
          <t>Nutella</t>
        </is>
      </c>
      <c r="C106" s="13" t="n">
        <v>30</v>
      </c>
      <c r="D106" s="13" t="inlineStr">
        <is>
          <t>g</t>
        </is>
      </c>
      <c r="E106" s="17">
        <f>IFERROR(C106*VLOOKUP(B106,INSUMOS!$A$5:$E$43,5,FALSE),0)</f>
        <v/>
      </c>
    </row>
    <row r="107">
      <c r="A107" s="13" t="inlineStr"/>
      <c r="B107" s="13" t="inlineStr">
        <is>
          <t>Leche entera</t>
        </is>
      </c>
      <c r="C107" s="13" t="n">
        <v>120</v>
      </c>
      <c r="D107" s="13" t="inlineStr">
        <is>
          <t>ml</t>
        </is>
      </c>
      <c r="E107" s="17">
        <f>IFERROR(C107*VLOOKUP(B107,INSUMOS!$A$5:$E$43,5,FALSE),0)</f>
        <v/>
      </c>
    </row>
    <row r="108">
      <c r="A108" s="13" t="inlineStr"/>
      <c r="B108" s="13" t="inlineStr">
        <is>
          <t>Hielo</t>
        </is>
      </c>
      <c r="C108" s="13" t="n">
        <v>150</v>
      </c>
      <c r="D108" s="13" t="inlineStr">
        <is>
          <t>g</t>
        </is>
      </c>
      <c r="E108" s="17">
        <f>IFERROR(C108*VLOOKUP(B108,INSUMOS!$A$5:$E$43,5,FALSE),0)</f>
        <v/>
      </c>
    </row>
    <row r="109">
      <c r="A109" s="13" t="inlineStr"/>
      <c r="B109" s="13" t="inlineStr">
        <is>
          <t>Vaso 12oz + tapa + pitillo</t>
        </is>
      </c>
      <c r="C109" s="13" t="n">
        <v>1</v>
      </c>
      <c r="D109" s="13" t="inlineStr">
        <is>
          <t>set</t>
        </is>
      </c>
      <c r="E109" s="17">
        <f>IFERROR(C109*VLOOKUP(B109,INSUMOS!$A$5:$E$43,5,FALSE),0)</f>
        <v/>
      </c>
    </row>
    <row r="110">
      <c r="A110" s="18" t="inlineStr">
        <is>
          <t>Especial Nutella (con alcohol)</t>
        </is>
      </c>
      <c r="B110" s="19" t="inlineStr">
        <is>
          <t>Nutella</t>
        </is>
      </c>
      <c r="C110" s="19" t="n">
        <v>30</v>
      </c>
      <c r="D110" s="19" t="inlineStr">
        <is>
          <t>g</t>
        </is>
      </c>
      <c r="E110" s="20">
        <f>IFERROR(C110*VLOOKUP(B110,INSUMOS!$A$5:$E$43,5,FALSE),0)</f>
        <v/>
      </c>
    </row>
    <row r="111">
      <c r="A111" s="19" t="inlineStr"/>
      <c r="B111" s="19" t="inlineStr">
        <is>
          <t>Leche entera</t>
        </is>
      </c>
      <c r="C111" s="19" t="n">
        <v>120</v>
      </c>
      <c r="D111" s="19" t="inlineStr">
        <is>
          <t>ml</t>
        </is>
      </c>
      <c r="E111" s="20">
        <f>IFERROR(C111*VLOOKUP(B111,INSUMOS!$A$5:$E$43,5,FALSE),0)</f>
        <v/>
      </c>
    </row>
    <row r="112">
      <c r="A112" s="19" t="inlineStr"/>
      <c r="B112" s="19" t="inlineStr">
        <is>
          <t>Hielo</t>
        </is>
      </c>
      <c r="C112" s="19" t="n">
        <v>150</v>
      </c>
      <c r="D112" s="19" t="inlineStr">
        <is>
          <t>g</t>
        </is>
      </c>
      <c r="E112" s="20">
        <f>IFERROR(C112*VLOOKUP(B112,INSUMOS!$A$5:$E$43,5,FALSE),0)</f>
        <v/>
      </c>
    </row>
    <row r="113">
      <c r="A113" s="19" t="inlineStr"/>
      <c r="B113" s="19" t="inlineStr">
        <is>
          <t>Vaso 12oz + tapa + pitillo</t>
        </is>
      </c>
      <c r="C113" s="19" t="n">
        <v>1</v>
      </c>
      <c r="D113" s="19" t="inlineStr">
        <is>
          <t>set</t>
        </is>
      </c>
      <c r="E113" s="20">
        <f>IFERROR(C113*VLOOKUP(B113,INSUMOS!$A$5:$E$43,5,FALSE),0)</f>
        <v/>
      </c>
    </row>
    <row r="114">
      <c r="A114" s="19" t="inlineStr"/>
      <c r="B114" s="19" t="inlineStr">
        <is>
          <t>Alcohol (aguardiente/vodka)</t>
        </is>
      </c>
      <c r="C114" s="19" t="n">
        <v>30</v>
      </c>
      <c r="D114" s="19" t="inlineStr">
        <is>
          <t>ml</t>
        </is>
      </c>
      <c r="E114" s="20">
        <f>IFERROR(C114*VLOOKUP(B114,INSUMOS!$A$5:$E$43,5,FALSE),0)</f>
        <v/>
      </c>
    </row>
    <row r="115">
      <c r="A115" s="16" t="inlineStr">
        <is>
          <t>Especial Café (sin alcohol)</t>
        </is>
      </c>
      <c r="B115" s="13" t="inlineStr">
        <is>
          <t>Café soluble</t>
        </is>
      </c>
      <c r="C115" s="13" t="n">
        <v>4</v>
      </c>
      <c r="D115" s="13" t="inlineStr">
        <is>
          <t>g</t>
        </is>
      </c>
      <c r="E115" s="17">
        <f>IFERROR(C115*VLOOKUP(B115,INSUMOS!$A$5:$E$43,5,FALSE),0)</f>
        <v/>
      </c>
    </row>
    <row r="116">
      <c r="A116" s="13" t="inlineStr"/>
      <c r="B116" s="13" t="inlineStr">
        <is>
          <t>Leche condensada</t>
        </is>
      </c>
      <c r="C116" s="13" t="n">
        <v>20</v>
      </c>
      <c r="D116" s="13" t="inlineStr">
        <is>
          <t>ml</t>
        </is>
      </c>
      <c r="E116" s="17">
        <f>IFERROR(C116*VLOOKUP(B116,INSUMOS!$A$5:$E$43,5,FALSE),0)</f>
        <v/>
      </c>
    </row>
    <row r="117">
      <c r="A117" s="13" t="inlineStr"/>
      <c r="B117" s="13" t="inlineStr">
        <is>
          <t>Leche entera</t>
        </is>
      </c>
      <c r="C117" s="13" t="n">
        <v>80</v>
      </c>
      <c r="D117" s="13" t="inlineStr">
        <is>
          <t>ml</t>
        </is>
      </c>
      <c r="E117" s="17">
        <f>IFERROR(C117*VLOOKUP(B117,INSUMOS!$A$5:$E$43,5,FALSE),0)</f>
        <v/>
      </c>
    </row>
    <row r="118">
      <c r="A118" s="13" t="inlineStr"/>
      <c r="B118" s="13" t="inlineStr">
        <is>
          <t>Hielo</t>
        </is>
      </c>
      <c r="C118" s="13" t="n">
        <v>160</v>
      </c>
      <c r="D118" s="13" t="inlineStr">
        <is>
          <t>g</t>
        </is>
      </c>
      <c r="E118" s="17">
        <f>IFERROR(C118*VLOOKUP(B118,INSUMOS!$A$5:$E$43,5,FALSE),0)</f>
        <v/>
      </c>
    </row>
    <row r="119">
      <c r="A119" s="13" t="inlineStr"/>
      <c r="B119" s="13" t="inlineStr">
        <is>
          <t>Vaso 12oz + tapa + pitillo</t>
        </is>
      </c>
      <c r="C119" s="13" t="n">
        <v>1</v>
      </c>
      <c r="D119" s="13" t="inlineStr">
        <is>
          <t>set</t>
        </is>
      </c>
      <c r="E119" s="17">
        <f>IFERROR(C119*VLOOKUP(B119,INSUMOS!$A$5:$E$43,5,FALSE),0)</f>
        <v/>
      </c>
    </row>
    <row r="120">
      <c r="A120" s="18" t="inlineStr">
        <is>
          <t>Especial Café (con alcohol)</t>
        </is>
      </c>
      <c r="B120" s="19" t="inlineStr">
        <is>
          <t>Café soluble</t>
        </is>
      </c>
      <c r="C120" s="19" t="n">
        <v>4</v>
      </c>
      <c r="D120" s="19" t="inlineStr">
        <is>
          <t>g</t>
        </is>
      </c>
      <c r="E120" s="20">
        <f>IFERROR(C120*VLOOKUP(B120,INSUMOS!$A$5:$E$43,5,FALSE),0)</f>
        <v/>
      </c>
    </row>
    <row r="121">
      <c r="A121" s="19" t="inlineStr"/>
      <c r="B121" s="19" t="inlineStr">
        <is>
          <t>Leche condensada</t>
        </is>
      </c>
      <c r="C121" s="19" t="n">
        <v>20</v>
      </c>
      <c r="D121" s="19" t="inlineStr">
        <is>
          <t>ml</t>
        </is>
      </c>
      <c r="E121" s="20">
        <f>IFERROR(C121*VLOOKUP(B121,INSUMOS!$A$5:$E$43,5,FALSE),0)</f>
        <v/>
      </c>
    </row>
    <row r="122">
      <c r="A122" s="19" t="inlineStr"/>
      <c r="B122" s="19" t="inlineStr">
        <is>
          <t>Leche entera</t>
        </is>
      </c>
      <c r="C122" s="19" t="n">
        <v>80</v>
      </c>
      <c r="D122" s="19" t="inlineStr">
        <is>
          <t>ml</t>
        </is>
      </c>
      <c r="E122" s="20">
        <f>IFERROR(C122*VLOOKUP(B122,INSUMOS!$A$5:$E$43,5,FALSE),0)</f>
        <v/>
      </c>
    </row>
    <row r="123">
      <c r="A123" s="19" t="inlineStr"/>
      <c r="B123" s="19" t="inlineStr">
        <is>
          <t>Hielo</t>
        </is>
      </c>
      <c r="C123" s="19" t="n">
        <v>160</v>
      </c>
      <c r="D123" s="19" t="inlineStr">
        <is>
          <t>g</t>
        </is>
      </c>
      <c r="E123" s="20">
        <f>IFERROR(C123*VLOOKUP(B123,INSUMOS!$A$5:$E$43,5,FALSE),0)</f>
        <v/>
      </c>
    </row>
    <row r="124">
      <c r="A124" s="19" t="inlineStr"/>
      <c r="B124" s="19" t="inlineStr">
        <is>
          <t>Vaso 12oz + tapa + pitillo</t>
        </is>
      </c>
      <c r="C124" s="19" t="n">
        <v>1</v>
      </c>
      <c r="D124" s="19" t="inlineStr">
        <is>
          <t>set</t>
        </is>
      </c>
      <c r="E124" s="20">
        <f>IFERROR(C124*VLOOKUP(B124,INSUMOS!$A$5:$E$43,5,FALSE),0)</f>
        <v/>
      </c>
    </row>
    <row r="125">
      <c r="A125" s="19" t="inlineStr"/>
      <c r="B125" s="19" t="inlineStr">
        <is>
          <t>Alcohol (aguardiente/vodka)</t>
        </is>
      </c>
      <c r="C125" s="19" t="n">
        <v>30</v>
      </c>
      <c r="D125" s="19" t="inlineStr">
        <is>
          <t>ml</t>
        </is>
      </c>
      <c r="E125" s="20">
        <f>IFERROR(C125*VLOOKUP(B125,INSUMOS!$A$5:$E$43,5,FALSE),0)</f>
        <v/>
      </c>
    </row>
    <row r="126">
      <c r="E126" s="21">
        <f>IF(B126="","",IFERROR(C126*VLOOKUP(B126,INSUMOS!$A$5:$E$43,5,FALSE),0))</f>
        <v/>
      </c>
    </row>
    <row r="127">
      <c r="E127" s="21">
        <f>IF(B127="","",IFERROR(C127*VLOOKUP(B127,INSUMOS!$A$5:$E$43,5,FALSE),0))</f>
        <v/>
      </c>
    </row>
    <row r="128">
      <c r="E128" s="21">
        <f>IF(B128="","",IFERROR(C128*VLOOKUP(B128,INSUMOS!$A$5:$E$43,5,FALSE),0))</f>
        <v/>
      </c>
    </row>
    <row r="129">
      <c r="E129" s="21">
        <f>IF(B129="","",IFERROR(C129*VLOOKUP(B129,INSUMOS!$A$5:$E$43,5,FALSE),0))</f>
        <v/>
      </c>
    </row>
    <row r="130">
      <c r="E130" s="21">
        <f>IF(B130="","",IFERROR(C130*VLOOKUP(B130,INSUMOS!$A$5:$E$43,5,FALSE),0))</f>
        <v/>
      </c>
    </row>
    <row r="131">
      <c r="E131" s="21">
        <f>IF(B131="","",IFERROR(C131*VLOOKUP(B131,INSUMOS!$A$5:$E$43,5,FALSE),0))</f>
        <v/>
      </c>
    </row>
    <row r="132">
      <c r="E132" s="21">
        <f>IF(B132="","",IFERROR(C132*VLOOKUP(B132,INSUMOS!$A$5:$E$43,5,FALSE),0))</f>
        <v/>
      </c>
    </row>
    <row r="133">
      <c r="E133" s="21">
        <f>IF(B133="","",IFERROR(C133*VLOOKUP(B133,INSUMOS!$A$5:$E$43,5,FALSE),0))</f>
        <v/>
      </c>
    </row>
    <row r="134">
      <c r="E134" s="21">
        <f>IF(B134="","",IFERROR(C134*VLOOKUP(B134,INSUMOS!$A$5:$E$43,5,FALSE),0))</f>
        <v/>
      </c>
    </row>
    <row r="135">
      <c r="E135" s="21">
        <f>IF(B135="","",IFERROR(C135*VLOOKUP(B135,INSUMOS!$A$5:$E$43,5,FALSE),0))</f>
        <v/>
      </c>
    </row>
    <row r="136">
      <c r="E136" s="21">
        <f>IF(B136="","",IFERROR(C136*VLOOKUP(B136,INSUMOS!$A$5:$E$43,5,FALSE),0))</f>
        <v/>
      </c>
    </row>
    <row r="137">
      <c r="E137" s="21">
        <f>IF(B137="","",IFERROR(C137*VLOOKUP(B137,INSUMOS!$A$5:$E$43,5,FALSE),0))</f>
        <v/>
      </c>
    </row>
    <row r="138">
      <c r="E138" s="21">
        <f>IF(B138="","",IFERROR(C138*VLOOKUP(B138,INSUMOS!$A$5:$E$43,5,FALSE),0))</f>
        <v/>
      </c>
    </row>
    <row r="139">
      <c r="E139" s="21">
        <f>IF(B139="","",IFERROR(C139*VLOOKUP(B139,INSUMOS!$A$5:$E$43,5,FALSE),0))</f>
        <v/>
      </c>
    </row>
    <row r="140">
      <c r="E140" s="21">
        <f>IF(B140="","",IFERROR(C140*VLOOKUP(B140,INSUMOS!$A$5:$E$43,5,FALSE),0))</f>
        <v/>
      </c>
    </row>
    <row r="141">
      <c r="E141" s="21">
        <f>IF(B141="","",IFERROR(C141*VLOOKUP(B141,INSUMOS!$A$5:$E$43,5,FALSE),0))</f>
        <v/>
      </c>
    </row>
    <row r="142">
      <c r="E142" s="21">
        <f>IF(B142="","",IFERROR(C142*VLOOKUP(B142,INSUMOS!$A$5:$E$43,5,FALSE),0))</f>
        <v/>
      </c>
    </row>
    <row r="143">
      <c r="E143" s="21">
        <f>IF(B143="","",IFERROR(C143*VLOOKUP(B143,INSUMOS!$A$5:$E$43,5,FALSE),0))</f>
        <v/>
      </c>
    </row>
    <row r="144">
      <c r="E144" s="21">
        <f>IF(B144="","",IFERROR(C144*VLOOKUP(B144,INSUMOS!$A$5:$E$43,5,FALSE),0))</f>
        <v/>
      </c>
    </row>
    <row r="145">
      <c r="E145" s="21">
        <f>IF(B145="","",IFERROR(C145*VLOOKUP(B145,INSUMOS!$A$5:$E$43,5,FALSE),0))</f>
        <v/>
      </c>
    </row>
    <row r="146">
      <c r="E146" s="21">
        <f>IF(B146="","",IFERROR(C146*VLOOKUP(B146,INSUMOS!$A$5:$E$43,5,FALSE),0))</f>
        <v/>
      </c>
    </row>
  </sheetData>
  <dataValidations count="1">
    <dataValidation sqref="B5:B165" showDropDown="0" showInputMessage="0" showErrorMessage="0" allowBlank="1" type="list">
      <formula1>=INSUMOS!$A$5:$A$43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3" customWidth="1" min="4" max="4"/>
    <col width="13" customWidth="1" min="5" max="5"/>
    <col width="13" customWidth="1" min="6" max="6"/>
    <col width="16" customWidth="1" min="7" max="7"/>
  </cols>
  <sheetData>
    <row r="1">
      <c r="A1" s="5" t="inlineStr">
        <is>
          <t>MENÚ — precio, costo y margen</t>
        </is>
      </c>
    </row>
    <row r="2">
      <c r="A2" s="6" t="inlineStr">
        <is>
          <t>Solo tocás la columna PVP. Todo lo demás se calcula solo. Techo sano de food cost: 35%.</t>
        </is>
      </c>
    </row>
    <row r="4" ht="30" customHeight="1">
      <c r="A4" s="7" t="inlineStr">
        <is>
          <t>CATEGORÍA</t>
        </is>
      </c>
      <c r="B4" s="7" t="inlineStr">
        <is>
          <t>PRODUCTO</t>
        </is>
      </c>
      <c r="C4" s="7" t="inlineStr">
        <is>
          <t>PVP</t>
        </is>
      </c>
      <c r="D4" s="7" t="inlineStr">
        <is>
          <t>COSTO</t>
        </is>
      </c>
      <c r="E4" s="7" t="inlineStr">
        <is>
          <t>FOOD COST</t>
        </is>
      </c>
      <c r="F4" s="7" t="inlineStr">
        <is>
          <t>MARGEN $</t>
        </is>
      </c>
      <c r="G4" s="7" t="inlineStr">
        <is>
          <t>SEMÁFORO</t>
        </is>
      </c>
    </row>
    <row r="5">
      <c r="A5" s="22" t="inlineStr">
        <is>
          <t>GRANIZADOS DE MÁQUINA</t>
        </is>
      </c>
      <c r="B5" s="16" t="inlineStr">
        <is>
          <t>Granizado de Máquina (sin alcohol)</t>
        </is>
      </c>
      <c r="C5" s="11" t="n">
        <v>1.5</v>
      </c>
      <c r="D5" s="17">
        <f>SUMIF(RECETAS!$A$5:$A$184,$B5,RECETAS!$E$5:$E$184)</f>
        <v/>
      </c>
      <c r="E5" s="23">
        <f>IF(OR($C5="",$C5=0),"",$D5/$C5)</f>
        <v/>
      </c>
      <c r="F5" s="17">
        <f>IF($C5="","",$C5-$D5)</f>
        <v/>
      </c>
      <c r="G5" s="24">
        <f>IF($E5="","",IF($E5&lt;=0.3,"✅ SANO",IF($E5&lt;=0.35,"🟡 LÍMITE","🔴 REVISAR")))</f>
        <v/>
      </c>
    </row>
    <row r="6">
      <c r="A6" s="22" t="inlineStr">
        <is>
          <t>GRANIZADOS DE MÁQUINA</t>
        </is>
      </c>
      <c r="B6" s="16" t="inlineStr">
        <is>
          <t>Granizado de Máquina (con alcohol)</t>
        </is>
      </c>
      <c r="C6" s="11" t="n">
        <v>2</v>
      </c>
      <c r="D6" s="17">
        <f>SUMIF(RECETAS!$A$5:$A$184,$B6,RECETAS!$E$5:$E$184)</f>
        <v/>
      </c>
      <c r="E6" s="23">
        <f>IF(OR($C6="",$C6=0),"",$D6/$C6)</f>
        <v/>
      </c>
      <c r="F6" s="17">
        <f>IF($C6="","",$C6-$D6)</f>
        <v/>
      </c>
      <c r="G6" s="24">
        <f>IF($E6="","",IF($E6&lt;=0.3,"✅ SANO",IF($E6&lt;=0.35,"🟡 LÍMITE","🔴 REVISAR")))</f>
        <v/>
      </c>
    </row>
    <row r="7">
      <c r="A7" s="22" t="inlineStr">
        <is>
          <t>GRANIZADOS ESPECIALES</t>
        </is>
      </c>
      <c r="B7" s="16" t="inlineStr">
        <is>
          <t>Especial Oreo (sin alcohol)</t>
        </is>
      </c>
      <c r="C7" s="11" t="n">
        <v>3</v>
      </c>
      <c r="D7" s="17">
        <f>SUMIF(RECETAS!$A$5:$A$184,$B7,RECETAS!$E$5:$E$184)</f>
        <v/>
      </c>
      <c r="E7" s="23">
        <f>IF(OR($C7="",$C7=0),"",$D7/$C7)</f>
        <v/>
      </c>
      <c r="F7" s="17">
        <f>IF($C7="","",$C7-$D7)</f>
        <v/>
      </c>
      <c r="G7" s="24">
        <f>IF($E7="","",IF($E7&lt;=0.3,"✅ SANO",IF($E7&lt;=0.35,"🟡 LÍMITE","🔴 REVISAR")))</f>
        <v/>
      </c>
    </row>
    <row r="8">
      <c r="A8" s="22" t="inlineStr">
        <is>
          <t>GRANIZADOS ESPECIALES</t>
        </is>
      </c>
      <c r="B8" s="16" t="inlineStr">
        <is>
          <t>Especial Oreo (con alcohol)</t>
        </is>
      </c>
      <c r="C8" s="11" t="n">
        <v>3.5</v>
      </c>
      <c r="D8" s="17">
        <f>SUMIF(RECETAS!$A$5:$A$184,$B8,RECETAS!$E$5:$E$184)</f>
        <v/>
      </c>
      <c r="E8" s="23">
        <f>IF(OR($C8="",$C8=0),"",$D8/$C8)</f>
        <v/>
      </c>
      <c r="F8" s="17">
        <f>IF($C8="","",$C8-$D8)</f>
        <v/>
      </c>
      <c r="G8" s="24">
        <f>IF($E8="","",IF($E8&lt;=0.3,"✅ SANO",IF($E8&lt;=0.35,"🟡 LÍMITE","🔴 REVISAR")))</f>
        <v/>
      </c>
    </row>
    <row r="9">
      <c r="A9" s="22" t="inlineStr">
        <is>
          <t>GRANIZADOS ESPECIALES</t>
        </is>
      </c>
      <c r="B9" s="16" t="inlineStr">
        <is>
          <t>Especial Nutella (sin alcohol)</t>
        </is>
      </c>
      <c r="C9" s="11" t="n">
        <v>3</v>
      </c>
      <c r="D9" s="17">
        <f>SUMIF(RECETAS!$A$5:$A$184,$B9,RECETAS!$E$5:$E$184)</f>
        <v/>
      </c>
      <c r="E9" s="23">
        <f>IF(OR($C9="",$C9=0),"",$D9/$C9)</f>
        <v/>
      </c>
      <c r="F9" s="17">
        <f>IF($C9="","",$C9-$D9)</f>
        <v/>
      </c>
      <c r="G9" s="24">
        <f>IF($E9="","",IF($E9&lt;=0.3,"✅ SANO",IF($E9&lt;=0.35,"🟡 LÍMITE","🔴 REVISAR")))</f>
        <v/>
      </c>
    </row>
    <row r="10">
      <c r="A10" s="22" t="inlineStr">
        <is>
          <t>GRANIZADOS ESPECIALES</t>
        </is>
      </c>
      <c r="B10" s="16" t="inlineStr">
        <is>
          <t>Especial Nutella (con alcohol)</t>
        </is>
      </c>
      <c r="C10" s="11" t="n">
        <v>3.5</v>
      </c>
      <c r="D10" s="17">
        <f>SUMIF(RECETAS!$A$5:$A$184,$B10,RECETAS!$E$5:$E$184)</f>
        <v/>
      </c>
      <c r="E10" s="23">
        <f>IF(OR($C10="",$C10=0),"",$D10/$C10)</f>
        <v/>
      </c>
      <c r="F10" s="17">
        <f>IF($C10="","",$C10-$D10)</f>
        <v/>
      </c>
      <c r="G10" s="24">
        <f>IF($E10="","",IF($E10&lt;=0.3,"✅ SANO",IF($E10&lt;=0.35,"🟡 LÍMITE","🔴 REVISAR")))</f>
        <v/>
      </c>
    </row>
    <row r="11">
      <c r="A11" s="22" t="inlineStr">
        <is>
          <t>GRANIZADOS ESPECIALES</t>
        </is>
      </c>
      <c r="B11" s="16" t="inlineStr">
        <is>
          <t>Especial Café (sin alcohol)</t>
        </is>
      </c>
      <c r="C11" s="11" t="n">
        <v>3</v>
      </c>
      <c r="D11" s="17">
        <f>SUMIF(RECETAS!$A$5:$A$184,$B11,RECETAS!$E$5:$E$184)</f>
        <v/>
      </c>
      <c r="E11" s="23">
        <f>IF(OR($C11="",$C11=0),"",$D11/$C11)</f>
        <v/>
      </c>
      <c r="F11" s="17">
        <f>IF($C11="","",$C11-$D11)</f>
        <v/>
      </c>
      <c r="G11" s="24">
        <f>IF($E11="","",IF($E11&lt;=0.3,"✅ SANO",IF($E11&lt;=0.35,"🟡 LÍMITE","🔴 REVISAR")))</f>
        <v/>
      </c>
    </row>
    <row r="12">
      <c r="A12" s="22" t="inlineStr">
        <is>
          <t>GRANIZADOS ESPECIALES</t>
        </is>
      </c>
      <c r="B12" s="16" t="inlineStr">
        <is>
          <t>Especial Café (con alcohol)</t>
        </is>
      </c>
      <c r="C12" s="11" t="n">
        <v>3.5</v>
      </c>
      <c r="D12" s="17">
        <f>SUMIF(RECETAS!$A$5:$A$184,$B12,RECETAS!$E$5:$E$184)</f>
        <v/>
      </c>
      <c r="E12" s="23">
        <f>IF(OR($C12="",$C12=0),"",$D12/$C12)</f>
        <v/>
      </c>
      <c r="F12" s="17">
        <f>IF($C12="","",$C12-$D12)</f>
        <v/>
      </c>
      <c r="G12" s="24">
        <f>IF($E12="","",IF($E12&lt;=0.3,"✅ SANO",IF($E12&lt;=0.35,"🟡 LÍMITE","🔴 REVISAR")))</f>
        <v/>
      </c>
    </row>
    <row r="13">
      <c r="A13" s="22" t="inlineStr">
        <is>
          <t>BANDEJAS</t>
        </is>
      </c>
      <c r="B13" s="16" t="inlineStr">
        <is>
          <t>Bandeja Clásica</t>
        </is>
      </c>
      <c r="C13" s="11" t="n">
        <v>3.5</v>
      </c>
      <c r="D13" s="17">
        <f>SUMIF(RECETAS!$A$5:$A$184,$B13,RECETAS!$E$5:$E$184)</f>
        <v/>
      </c>
      <c r="E13" s="23">
        <f>IF(OR($C13="",$C13=0),"",$D13/$C13)</f>
        <v/>
      </c>
      <c r="F13" s="17">
        <f>IF($C13="","",$C13-$D13)</f>
        <v/>
      </c>
      <c r="G13" s="24">
        <f>IF($E13="","",IF($E13&lt;=0.3,"✅ SANO",IF($E13&lt;=0.35,"🟡 LÍMITE","🔴 REVISAR")))</f>
        <v/>
      </c>
    </row>
    <row r="14">
      <c r="A14" s="22" t="inlineStr">
        <is>
          <t>BANDEJAS</t>
        </is>
      </c>
      <c r="B14" s="16" t="inlineStr">
        <is>
          <t>Bandeja Completa</t>
        </is>
      </c>
      <c r="C14" s="11" t="n">
        <v>4.5</v>
      </c>
      <c r="D14" s="17">
        <f>SUMIF(RECETAS!$A$5:$A$184,$B14,RECETAS!$E$5:$E$184)</f>
        <v/>
      </c>
      <c r="E14" s="23">
        <f>IF(OR($C14="",$C14=0),"",$D14/$C14)</f>
        <v/>
      </c>
      <c r="F14" s="17">
        <f>IF($C14="","",$C14-$D14)</f>
        <v/>
      </c>
      <c r="G14" s="24">
        <f>IF($E14="","",IF($E14&lt;=0.3,"✅ SANO",IF($E14&lt;=0.35,"🟡 LÍMITE","🔴 REVISAR")))</f>
        <v/>
      </c>
    </row>
    <row r="15">
      <c r="A15" s="22" t="inlineStr">
        <is>
          <t>BANDEJAS</t>
        </is>
      </c>
      <c r="B15" s="16" t="inlineStr">
        <is>
          <t>Bandeja Suprema</t>
        </is>
      </c>
      <c r="C15" s="11" t="n">
        <v>5.5</v>
      </c>
      <c r="D15" s="17">
        <f>SUMIF(RECETAS!$A$5:$A$184,$B15,RECETAS!$E$5:$E$184)</f>
        <v/>
      </c>
      <c r="E15" s="23">
        <f>IF(OR($C15="",$C15=0),"",$D15/$C15)</f>
        <v/>
      </c>
      <c r="F15" s="17">
        <f>IF($C15="","",$C15-$D15)</f>
        <v/>
      </c>
      <c r="G15" s="24">
        <f>IF($E15="","",IF($E15&lt;=0.3,"✅ SANO",IF($E15&lt;=0.35,"🟡 LÍMITE","🔴 REVISAR")))</f>
        <v/>
      </c>
    </row>
    <row r="16">
      <c r="A16" s="22" t="inlineStr">
        <is>
          <t>CONOS — SOLITARIAS</t>
        </is>
      </c>
      <c r="B16" s="16" t="inlineStr">
        <is>
          <t>Solitaria de Pollo</t>
        </is>
      </c>
      <c r="C16" s="11" t="n">
        <v>2.75</v>
      </c>
      <c r="D16" s="17">
        <f>SUMIF(RECETAS!$A$5:$A$184,$B16,RECETAS!$E$5:$E$184)</f>
        <v/>
      </c>
      <c r="E16" s="23">
        <f>IF(OR($C16="",$C16=0),"",$D16/$C16)</f>
        <v/>
      </c>
      <c r="F16" s="17">
        <f>IF($C16="","",$C16-$D16)</f>
        <v/>
      </c>
      <c r="G16" s="24">
        <f>IF($E16="","",IF($E16&lt;=0.3,"✅ SANO",IF($E16&lt;=0.35,"🟡 LÍMITE","🔴 REVISAR")))</f>
        <v/>
      </c>
    </row>
    <row r="17">
      <c r="A17" s="22" t="inlineStr">
        <is>
          <t>CONOS — SOLITARIAS</t>
        </is>
      </c>
      <c r="B17" s="16" t="inlineStr">
        <is>
          <t>Solitaria de Chorizo</t>
        </is>
      </c>
      <c r="C17" s="11" t="n">
        <v>2.75</v>
      </c>
      <c r="D17" s="17">
        <f>SUMIF(RECETAS!$A$5:$A$184,$B17,RECETAS!$E$5:$E$184)</f>
        <v/>
      </c>
      <c r="E17" s="23">
        <f>IF(OR($C17="",$C17=0),"",$D17/$C17)</f>
        <v/>
      </c>
      <c r="F17" s="17">
        <f>IF($C17="","",$C17-$D17)</f>
        <v/>
      </c>
      <c r="G17" s="24">
        <f>IF($E17="","",IF($E17&lt;=0.3,"✅ SANO",IF($E17&lt;=0.35,"🟡 LÍMITE","🔴 REVISAR")))</f>
        <v/>
      </c>
    </row>
    <row r="18">
      <c r="A18" s="22" t="inlineStr">
        <is>
          <t>CONOS — LAS QUE TE GUSTAN</t>
        </is>
      </c>
      <c r="B18" s="16" t="inlineStr">
        <is>
          <t>Pollo Bacon</t>
        </is>
      </c>
      <c r="C18" s="11" t="n">
        <v>3.75</v>
      </c>
      <c r="D18" s="17">
        <f>SUMIF(RECETAS!$A$5:$A$184,$B18,RECETAS!$E$5:$E$184)</f>
        <v/>
      </c>
      <c r="E18" s="23">
        <f>IF(OR($C18="",$C18=0),"",$D18/$C18)</f>
        <v/>
      </c>
      <c r="F18" s="17">
        <f>IF($C18="","",$C18-$D18)</f>
        <v/>
      </c>
      <c r="G18" s="24">
        <f>IF($E18="","",IF($E18&lt;=0.3,"✅ SANO",IF($E18&lt;=0.35,"🟡 LÍMITE","🔴 REVISAR")))</f>
        <v/>
      </c>
    </row>
    <row r="19">
      <c r="A19" s="22" t="inlineStr">
        <is>
          <t>CONOS — LAS QUE TE GUSTAN</t>
        </is>
      </c>
      <c r="B19" s="16" t="inlineStr">
        <is>
          <t>Chori Bacon</t>
        </is>
      </c>
      <c r="C19" s="11" t="n">
        <v>3.75</v>
      </c>
      <c r="D19" s="17">
        <f>SUMIF(RECETAS!$A$5:$A$184,$B19,RECETAS!$E$5:$E$184)</f>
        <v/>
      </c>
      <c r="E19" s="23">
        <f>IF(OR($C19="",$C19=0),"",$D19/$C19)</f>
        <v/>
      </c>
      <c r="F19" s="17">
        <f>IF($C19="","",$C19-$D19)</f>
        <v/>
      </c>
      <c r="G19" s="24">
        <f>IF($E19="","",IF($E19&lt;=0.3,"✅ SANO",IF($E19&lt;=0.35,"🟡 LÍMITE","🔴 REVISAR")))</f>
        <v/>
      </c>
    </row>
    <row r="20">
      <c r="A20" s="22" t="inlineStr">
        <is>
          <t>CONOS — LAS QUE TE GUSTAN</t>
        </is>
      </c>
      <c r="B20" s="16" t="inlineStr">
        <is>
          <t>Carne Bacon</t>
        </is>
      </c>
      <c r="C20" s="11" t="n">
        <v>3.75</v>
      </c>
      <c r="D20" s="17">
        <f>SUMIF(RECETAS!$A$5:$A$184,$B20,RECETAS!$E$5:$E$184)</f>
        <v/>
      </c>
      <c r="E20" s="23">
        <f>IF(OR($C20="",$C20=0),"",$D20/$C20)</f>
        <v/>
      </c>
      <c r="F20" s="17">
        <f>IF($C20="","",$C20-$D20)</f>
        <v/>
      </c>
      <c r="G20" s="24">
        <f>IF($E20="","",IF($E20&lt;=0.3,"✅ SANO",IF($E20&lt;=0.35,"🟡 LÍMITE","🔴 REVISAR")))</f>
        <v/>
      </c>
    </row>
    <row r="21">
      <c r="A21" s="22" t="inlineStr">
        <is>
          <t>CONOS — LA FAVORITA</t>
        </is>
      </c>
      <c r="B21" s="16" t="inlineStr">
        <is>
          <t>Don Candy</t>
        </is>
      </c>
      <c r="C21" s="11" t="n">
        <v>5.5</v>
      </c>
      <c r="D21" s="17">
        <f>SUMIF(RECETAS!$A$5:$A$184,$B21,RECETAS!$E$5:$E$184)</f>
        <v/>
      </c>
      <c r="E21" s="23">
        <f>IF(OR($C21="",$C21=0),"",$D21/$C21)</f>
        <v/>
      </c>
      <c r="F21" s="17">
        <f>IF($C21="","",$C21-$D21)</f>
        <v/>
      </c>
      <c r="G21" s="24">
        <f>IF($E21="","",IF($E21&lt;=0.3,"✅ SANO",IF($E21&lt;=0.35,"🟡 LÍMITE","🔴 REVISAR")))</f>
        <v/>
      </c>
    </row>
    <row r="22">
      <c r="A22" s="22" t="inlineStr">
        <is>
          <t>HAMBURGUESAS</t>
        </is>
      </c>
      <c r="B22" s="16" t="inlineStr">
        <is>
          <t>Burger Clásica</t>
        </is>
      </c>
      <c r="C22" s="11" t="n">
        <v>3</v>
      </c>
      <c r="D22" s="17">
        <f>SUMIF(RECETAS!$A$5:$A$184,$B22,RECETAS!$E$5:$E$184)</f>
        <v/>
      </c>
      <c r="E22" s="23">
        <f>IF(OR($C22="",$C22=0),"",$D22/$C22)</f>
        <v/>
      </c>
      <c r="F22" s="17">
        <f>IF($C22="","",$C22-$D22)</f>
        <v/>
      </c>
      <c r="G22" s="24">
        <f>IF($E22="","",IF($E22&lt;=0.3,"✅ SANO",IF($E22&lt;=0.35,"🟡 LÍMITE","🔴 REVISAR")))</f>
        <v/>
      </c>
    </row>
    <row r="23">
      <c r="A23" s="22" t="inlineStr">
        <is>
          <t>HAMBURGUESAS</t>
        </is>
      </c>
      <c r="B23" s="16" t="inlineStr">
        <is>
          <t>Burger Sweet Onion</t>
        </is>
      </c>
      <c r="C23" s="11" t="n">
        <v>3.75</v>
      </c>
      <c r="D23" s="17">
        <f>SUMIF(RECETAS!$A$5:$A$184,$B23,RECETAS!$E$5:$E$184)</f>
        <v/>
      </c>
      <c r="E23" s="23">
        <f>IF(OR($C23="",$C23=0),"",$D23/$C23)</f>
        <v/>
      </c>
      <c r="F23" s="17">
        <f>IF($C23="","",$C23-$D23)</f>
        <v/>
      </c>
      <c r="G23" s="24">
        <f>IF($E23="","",IF($E23&lt;=0.3,"✅ SANO",IF($E23&lt;=0.35,"🟡 LÍMITE","🔴 REVISAR")))</f>
        <v/>
      </c>
    </row>
    <row r="24">
      <c r="A24" s="22" t="inlineStr">
        <is>
          <t>HAMBURGUESAS</t>
        </is>
      </c>
      <c r="B24" s="16" t="inlineStr">
        <is>
          <t>Burger Completa</t>
        </is>
      </c>
      <c r="C24" s="11" t="n">
        <v>4.5</v>
      </c>
      <c r="D24" s="17">
        <f>SUMIF(RECETAS!$A$5:$A$184,$B24,RECETAS!$E$5:$E$184)</f>
        <v/>
      </c>
      <c r="E24" s="23">
        <f>IF(OR($C24="",$C24=0),"",$D24/$C24)</f>
        <v/>
      </c>
      <c r="F24" s="17">
        <f>IF($C24="","",$C24-$D24)</f>
        <v/>
      </c>
      <c r="G24" s="24">
        <f>IF($E24="","",IF($E24&lt;=0.3,"✅ SANO",IF($E24&lt;=0.35,"🟡 LÍMITE","🔴 REVISAR")))</f>
        <v/>
      </c>
    </row>
    <row r="25">
      <c r="A25" s="22" t="inlineStr">
        <is>
          <t>HAMBURGUESAS</t>
        </is>
      </c>
      <c r="B25" s="16" t="inlineStr">
        <is>
          <t>CandyBurger</t>
        </is>
      </c>
      <c r="C25" s="11" t="n">
        <v>5.5</v>
      </c>
      <c r="D25" s="17">
        <f>SUMIF(RECETAS!$A$5:$A$184,$B25,RECETAS!$E$5:$E$184)</f>
        <v/>
      </c>
      <c r="E25" s="23">
        <f>IF(OR($C25="",$C25=0),"",$D25/$C25)</f>
        <v/>
      </c>
      <c r="F25" s="17">
        <f>IF($C25="","",$C25-$D25)</f>
        <v/>
      </c>
      <c r="G25" s="24">
        <f>IF($E25="","",IF($E25&lt;=0.3,"✅ SANO",IF($E25&lt;=0.35,"🟡 LÍMITE","🔴 REVISAR")))</f>
        <v/>
      </c>
    </row>
    <row r="26">
      <c r="A26" s="22" t="inlineStr">
        <is>
          <t>TENDERS</t>
        </is>
      </c>
      <c r="B26" s="16" t="inlineStr">
        <is>
          <t>3 Tenders</t>
        </is>
      </c>
      <c r="C26" s="11" t="n">
        <v>3.5</v>
      </c>
      <c r="D26" s="17">
        <f>SUMIF(RECETAS!$A$5:$A$184,$B26,RECETAS!$E$5:$E$184)</f>
        <v/>
      </c>
      <c r="E26" s="23">
        <f>IF(OR($C26="",$C26=0),"",$D26/$C26)</f>
        <v/>
      </c>
      <c r="F26" s="17">
        <f>IF($C26="","",$C26-$D26)</f>
        <v/>
      </c>
      <c r="G26" s="24">
        <f>IF($E26="","",IF($E26&lt;=0.3,"✅ SANO",IF($E26&lt;=0.35,"🟡 LÍMITE","🔴 REVISAR")))</f>
        <v/>
      </c>
    </row>
    <row r="27">
      <c r="A27" s="22" t="inlineStr">
        <is>
          <t>TENDERS</t>
        </is>
      </c>
      <c r="B27" s="16" t="inlineStr">
        <is>
          <t>5 Tenders</t>
        </is>
      </c>
      <c r="C27" s="11" t="n">
        <v>5</v>
      </c>
      <c r="D27" s="17">
        <f>SUMIF(RECETAS!$A$5:$A$184,$B27,RECETAS!$E$5:$E$184)</f>
        <v/>
      </c>
      <c r="E27" s="23">
        <f>IF(OR($C27="",$C27=0),"",$D27/$C27)</f>
        <v/>
      </c>
      <c r="F27" s="17">
        <f>IF($C27="","",$C27-$D27)</f>
        <v/>
      </c>
      <c r="G27" s="24">
        <f>IF($E27="","",IF($E27&lt;=0.3,"✅ SANO",IF($E27&lt;=0.35,"🟡 LÍMITE","🔴 REVISAR")))</f>
        <v/>
      </c>
    </row>
    <row r="28">
      <c r="A28" s="22" t="inlineStr">
        <is>
          <t>ADICIONALES</t>
        </is>
      </c>
      <c r="B28" s="16" t="inlineStr">
        <is>
          <t>Adicional: Porción de papas</t>
        </is>
      </c>
      <c r="C28" s="11" t="n">
        <v>1</v>
      </c>
      <c r="D28" s="17">
        <f>SUMIF(RECETAS!$A$5:$A$184,$B28,RECETAS!$E$5:$E$184)</f>
        <v/>
      </c>
      <c r="E28" s="23">
        <f>IF(OR($C28="",$C28=0),"",$D28/$C28)</f>
        <v/>
      </c>
      <c r="F28" s="17">
        <f>IF($C28="","",$C28-$D28)</f>
        <v/>
      </c>
      <c r="G28" s="24">
        <f>IF($E28="","",IF($E28&lt;=0.3,"✅ SANO",IF($E28&lt;=0.35,"🟡 LÍMITE","🔴 REVISAR")))</f>
        <v/>
      </c>
    </row>
    <row r="29">
      <c r="A29" s="22" t="inlineStr">
        <is>
          <t>ADICIONALES</t>
        </is>
      </c>
      <c r="B29" s="16" t="inlineStr">
        <is>
          <t>Adicional: Cola + porción de papas</t>
        </is>
      </c>
      <c r="C29" s="11" t="n">
        <v>1.5</v>
      </c>
      <c r="D29" s="17">
        <f>SUMIF(RECETAS!$A$5:$A$184,$B29,RECETAS!$E$5:$E$184)</f>
        <v/>
      </c>
      <c r="E29" s="23">
        <f>IF(OR($C29="",$C29=0),"",$D29/$C29)</f>
        <v/>
      </c>
      <c r="F29" s="17">
        <f>IF($C29="","",$C29-$D29)</f>
        <v/>
      </c>
      <c r="G29" s="24">
        <f>IF($E29="","",IF($E29&lt;=0.3,"✅ SANO",IF($E29&lt;=0.35,"🟡 LÍMITE","🔴 REVISAR")))</f>
        <v/>
      </c>
    </row>
    <row r="30">
      <c r="A30" s="22" t="inlineStr">
        <is>
          <t>ADICIONALES</t>
        </is>
      </c>
      <c r="B30" s="16" t="inlineStr">
        <is>
          <t>Adicional: Doble carne</t>
        </is>
      </c>
      <c r="C30" s="11" t="n">
        <v>1.5</v>
      </c>
      <c r="D30" s="17">
        <f>SUMIF(RECETAS!$A$5:$A$184,$B30,RECETAS!$E$5:$E$184)</f>
        <v/>
      </c>
      <c r="E30" s="23">
        <f>IF(OR($C30="",$C30=0),"",$D30/$C30)</f>
        <v/>
      </c>
      <c r="F30" s="17">
        <f>IF($C30="","",$C30-$D30)</f>
        <v/>
      </c>
      <c r="G30" s="24">
        <f>IF($E30="","",IF($E30&lt;=0.3,"✅ SANO",IF($E30&lt;=0.35,"🟡 LÍMITE","🔴 REVISAR")))</f>
        <v/>
      </c>
    </row>
    <row r="31">
      <c r="A31" s="22" t="inlineStr">
        <is>
          <t>BEBIDAS</t>
        </is>
      </c>
      <c r="B31" s="16" t="inlineStr"/>
      <c r="C31" s="11" t="n"/>
      <c r="D31" s="17">
        <f>SUMIF(RECETAS!$A$5:$A$184,$B31,RECETAS!$E$5:$E$184)</f>
        <v/>
      </c>
      <c r="E31" s="23">
        <f>IF(OR($C31="",$C31=0),"",$D31/$C31)</f>
        <v/>
      </c>
      <c r="F31" s="17">
        <f>IF($C31="","",$C31-$D31)</f>
        <v/>
      </c>
      <c r="G31" s="24">
        <f>IF($E31="","",IF($E31&lt;=0.3,"✅ SANO",IF($E31&lt;=0.35,"🟡 LÍMITE","🔴 REVISAR")))</f>
        <v/>
      </c>
    </row>
    <row r="32">
      <c r="D32" s="21">
        <f>IF($B32="","",SUMIF(RECETAS!$A$5:$A$184,$B32,RECETAS!$E$5:$E$184))</f>
        <v/>
      </c>
      <c r="E32" s="25">
        <f>IF(OR($C32="",$C32=0),"",$D32/$C32)</f>
        <v/>
      </c>
      <c r="F32" s="21">
        <f>IF($C32="","",$C32-$D32)</f>
        <v/>
      </c>
      <c r="G32">
        <f>IF($E32="","",IF($E32&lt;=0.3,"✅ SANO",IF($E32&lt;=0.35,"🟡 LÍMITE","🔴 REVISAR")))</f>
        <v/>
      </c>
    </row>
    <row r="33">
      <c r="D33" s="21">
        <f>IF($B33="","",SUMIF(RECETAS!$A$5:$A$184,$B33,RECETAS!$E$5:$E$184))</f>
        <v/>
      </c>
      <c r="E33" s="25">
        <f>IF(OR($C33="",$C33=0),"",$D33/$C33)</f>
        <v/>
      </c>
      <c r="F33" s="21">
        <f>IF($C33="","",$C33-$D33)</f>
        <v/>
      </c>
      <c r="G33">
        <f>IF($E33="","",IF($E33&lt;=0.3,"✅ SANO",IF($E33&lt;=0.35,"🟡 LÍMITE","🔴 REVISAR")))</f>
        <v/>
      </c>
    </row>
    <row r="34">
      <c r="D34" s="21">
        <f>IF($B34="","",SUMIF(RECETAS!$A$5:$A$184,$B34,RECETAS!$E$5:$E$184))</f>
        <v/>
      </c>
      <c r="E34" s="25">
        <f>IF(OR($C34="",$C34=0),"",$D34/$C34)</f>
        <v/>
      </c>
      <c r="F34" s="21">
        <f>IF($C34="","",$C34-$D34)</f>
        <v/>
      </c>
      <c r="G34">
        <f>IF($E34="","",IF($E34&lt;=0.3,"✅ SANO",IF($E34&lt;=0.35,"🟡 LÍMITE","🔴 REVISAR")))</f>
        <v/>
      </c>
    </row>
    <row r="35">
      <c r="D35" s="21">
        <f>IF($B35="","",SUMIF(RECETAS!$A$5:$A$184,$B35,RECETAS!$E$5:$E$184))</f>
        <v/>
      </c>
      <c r="E35" s="25">
        <f>IF(OR($C35="",$C35=0),"",$D35/$C35)</f>
        <v/>
      </c>
      <c r="F35" s="21">
        <f>IF($C35="","",$C35-$D35)</f>
        <v/>
      </c>
      <c r="G35">
        <f>IF($E35="","",IF($E35&lt;=0.3,"✅ SANO",IF($E35&lt;=0.35,"🟡 LÍMITE","🔴 REVISAR")))</f>
        <v/>
      </c>
    </row>
    <row r="36">
      <c r="D36" s="21">
        <f>IF($B36="","",SUMIF(RECETAS!$A$5:$A$184,$B36,RECETAS!$E$5:$E$184))</f>
        <v/>
      </c>
      <c r="E36" s="25">
        <f>IF(OR($C36="",$C36=0),"",$D36/$C36)</f>
        <v/>
      </c>
      <c r="F36" s="21">
        <f>IF($C36="","",$C36-$D36)</f>
        <v/>
      </c>
      <c r="G36">
        <f>IF($E36="","",IF($E36&lt;=0.3,"✅ SANO",IF($E36&lt;=0.35,"🟡 LÍMITE","🔴 REVISAR")))</f>
        <v/>
      </c>
    </row>
    <row r="37">
      <c r="D37" s="21">
        <f>IF($B37="","",SUMIF(RECETAS!$A$5:$A$184,$B37,RECETAS!$E$5:$E$184))</f>
        <v/>
      </c>
      <c r="E37" s="25">
        <f>IF(OR($C37="",$C37=0),"",$D37/$C37)</f>
        <v/>
      </c>
      <c r="F37" s="21">
        <f>IF($C37="","",$C37-$D37)</f>
        <v/>
      </c>
      <c r="G37">
        <f>IF($E37="","",IF($E37&lt;=0.3,"✅ SANO",IF($E37&lt;=0.35,"🟡 LÍMITE","🔴 REVISAR")))</f>
        <v/>
      </c>
    </row>
    <row r="38">
      <c r="D38" s="21">
        <f>IF($B38="","",SUMIF(RECETAS!$A$5:$A$184,$B38,RECETAS!$E$5:$E$184))</f>
        <v/>
      </c>
      <c r="E38" s="25">
        <f>IF(OR($C38="",$C38=0),"",$D38/$C38)</f>
        <v/>
      </c>
      <c r="F38" s="21">
        <f>IF($C38="","",$C38-$D38)</f>
        <v/>
      </c>
      <c r="G38">
        <f>IF($E38="","",IF($E38&lt;=0.3,"✅ SANO",IF($E38&lt;=0.35,"🟡 LÍMITE","🔴 REVISAR")))</f>
        <v/>
      </c>
    </row>
    <row r="39">
      <c r="D39" s="21">
        <f>IF($B39="","",SUMIF(RECETAS!$A$5:$A$184,$B39,RECETAS!$E$5:$E$184))</f>
        <v/>
      </c>
      <c r="E39" s="25">
        <f>IF(OR($C39="",$C39=0),"",$D39/$C39)</f>
        <v/>
      </c>
      <c r="F39" s="21">
        <f>IF($C39="","",$C39-$D39)</f>
        <v/>
      </c>
      <c r="G39">
        <f>IF($E39="","",IF($E39&lt;=0.3,"✅ SANO",IF($E39&lt;=0.35,"🟡 LÍMITE","🔴 REVISAR")))</f>
        <v/>
      </c>
    </row>
    <row r="40">
      <c r="D40" s="21">
        <f>IF($B40="","",SUMIF(RECETAS!$A$5:$A$184,$B40,RECETAS!$E$5:$E$184))</f>
        <v/>
      </c>
      <c r="E40" s="25">
        <f>IF(OR($C40="",$C40=0),"",$D40/$C40)</f>
        <v/>
      </c>
      <c r="F40" s="21">
        <f>IF($C40="","",$C40-$D40)</f>
        <v/>
      </c>
      <c r="G40">
        <f>IF($E40="","",IF($E40&lt;=0.3,"✅ SANO",IF($E40&lt;=0.35,"🟡 LÍMITE","🔴 REVISAR")))</f>
        <v/>
      </c>
    </row>
    <row r="41">
      <c r="D41" s="21">
        <f>IF($B41="","",SUMIF(RECETAS!$A$5:$A$184,$B41,RECETAS!$E$5:$E$184))</f>
        <v/>
      </c>
      <c r="E41" s="25">
        <f>IF(OR($C41="",$C41=0),"",$D41/$C41)</f>
        <v/>
      </c>
      <c r="F41" s="21">
        <f>IF($C41="","",$C41-$D41)</f>
        <v/>
      </c>
      <c r="G41">
        <f>IF($E41="","",IF($E41&lt;=0.3,"✅ SANO",IF($E41&lt;=0.35,"🟡 LÍMITE","🔴 REVISAR")))</f>
        <v/>
      </c>
    </row>
    <row r="42">
      <c r="D42" s="21">
        <f>IF($B42="","",SUMIF(RECETAS!$A$5:$A$184,$B42,RECETAS!$E$5:$E$184))</f>
        <v/>
      </c>
      <c r="E42" s="25">
        <f>IF(OR($C42="",$C42=0),"",$D42/$C42)</f>
        <v/>
      </c>
      <c r="F42" s="21">
        <f>IF($C42="","",$C42-$D42)</f>
        <v/>
      </c>
      <c r="G42">
        <f>IF($E42="","",IF($E42&lt;=0.3,"✅ SANO",IF($E42&lt;=0.35,"🟡 LÍMITE","🔴 REVISAR")))</f>
        <v/>
      </c>
    </row>
    <row r="43">
      <c r="D43" s="21">
        <f>IF($B43="","",SUMIF(RECETAS!$A$5:$A$184,$B43,RECETAS!$E$5:$E$184))</f>
        <v/>
      </c>
      <c r="E43" s="25">
        <f>IF(OR($C43="",$C43=0),"",$D43/$C43)</f>
        <v/>
      </c>
      <c r="F43" s="21">
        <f>IF($C43="","",$C43-$D43)</f>
        <v/>
      </c>
      <c r="G43">
        <f>IF($E43="","",IF($E43&lt;=0.3,"✅ SANO",IF($E43&lt;=0.35,"🟡 LÍMITE","🔴 REVISAR")))</f>
        <v/>
      </c>
    </row>
  </sheetData>
  <conditionalFormatting sqref="E5:E43">
    <cfRule type="cellIs" priority="1" operator="greaterThan" dxfId="1">
      <formula>0.35</formula>
    </cfRule>
    <cfRule type="cellIs" priority="2" operator="between" dxfId="2">
      <formula>0.3</formula>
      <formula>0.35</formula>
    </cfRule>
    <cfRule type="cellIs" priority="3" operator="lessThan" dxfId="3">
      <formula>0.3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2026-08-15T02:14:45Z</dcterms:created>
  <dcterms:modified xsi:type="dcterms:W3CDTF">2026-08-15T02:14:45Z</dcterms:modified>
</cp:coreProperties>
</file>